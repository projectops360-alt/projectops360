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5dc73f52c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5d2c70d1d74458"/>
    <x:sheet xmlns:r="http://schemas.openxmlformats.org/officeDocument/2006/relationships" name="Solo_Capacity" sheetId="2" r:id="Rbf35b09d4c8d487f"/>
    <x:sheet xmlns:r="http://schemas.openxmlformats.org/officeDocument/2006/relationships" name="WBS_Solo" sheetId="3" r:id="R79efe86d4f484445"/>
    <x:sheet xmlns:r="http://schemas.openxmlformats.org/officeDocument/2006/relationships" name="Sprint_Backlog" sheetId="4" r:id="R08483679bb78474d"/>
    <x:sheet xmlns:r="http://schemas.openxmlformats.org/officeDocument/2006/relationships" name="Acceptance_Criteria" sheetId="5" r:id="R31ea0e7707f24b2a"/>
    <x:sheet xmlns:r="http://schemas.openxmlformats.org/officeDocument/2006/relationships" name="Dependencies" sheetId="6" r:id="R65b780a12c8c4782"/>
    <x:sheet xmlns:r="http://schemas.openxmlformats.org/officeDocument/2006/relationships" name="Build_Risks" sheetId="7" r:id="Raa0eb7e873274359"/>
    <x:sheet xmlns:r="http://schemas.openxmlformats.org/officeDocument/2006/relationships" name="Data_Lists" sheetId="8" r:id="R87dd09b4a6e0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%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3F6F48"/>
      </x:patternFill>
    </x:fill>
    <x:fill>
      <x:patternFill patternType="solid">
        <x:fgColor rgb="EAF4EC"/>
      </x:patternFill>
    </x:fill>
    <x:fill>
      <x:patternFill patternType="solid">
        <x:fgColor rgb="6FA878"/>
      </x:patternFill>
    </x:fill>
    <x:fill>
      <x:patternFill patternType="solid">
        <x:fgColor rgb="FEF3C7"/>
      </x:patternFill>
    </x:fill>
  </x:fills>
  <x:borders count="20">
    <x:border/>
    <x:border/>
    <x:border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4" borderId="0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2" fillId="4" borderId="10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200" fontId="0" fillId="0" borderId="11" xfId="0" applyNumberFormat="1" applyFont="1" applyFill="1" applyBorder="1"/>
    <x:xf numFmtId="0" fontId="0" fillId="0" borderId="5" xfId="0" applyNumberFormat="1" applyFont="1" applyFill="1" applyBorder="1"/>
    <x:xf numFmtId="0" fontId="4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2" fillId="4" borderId="15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/>
    <x:xf numFmtId="20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4" fillId="0" borderId="17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201" fontId="0" fillId="0" borderId="16" xfId="0" applyNumberFormat="1" applyFont="1" applyFill="1" applyBorder="1"/>
  </x:cellXfs>
  <x:cellStyles count="1">
    <x:cellStyle name="Normal" xfId="0"/>
  </x:cellStyles>
  <x:dxfs count="11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dd16aa38047c2" /><Relationship Type="http://schemas.openxmlformats.org/officeDocument/2006/relationships/theme" Target="/xl/theme/theme1.xml" Id="R8d81ad8e590f4674" /><Relationship Type="http://schemas.openxmlformats.org/officeDocument/2006/relationships/sharedStrings" Target="/xl/sharedStrings.xml" Id="R2bc380a60ca64102" /><Relationship Type="http://schemas.openxmlformats.org/officeDocument/2006/relationships/worksheet" Target="/xl/worksheets/sheet1.xml" Id="Rfb5d2c70d1d74458" /><Relationship Type="http://schemas.openxmlformats.org/officeDocument/2006/relationships/worksheet" Target="/xl/worksheets/sheet2.xml" Id="Rbf35b09d4c8d487f" /><Relationship Type="http://schemas.openxmlformats.org/officeDocument/2006/relationships/worksheet" Target="/xl/worksheets/sheet3.xml" Id="R79efe86d4f484445" /><Relationship Type="http://schemas.openxmlformats.org/officeDocument/2006/relationships/worksheet" Target="/xl/worksheets/sheet4.xml" Id="R08483679bb78474d" /><Relationship Type="http://schemas.openxmlformats.org/officeDocument/2006/relationships/worksheet" Target="/xl/worksheets/sheet5.xml" Id="R31ea0e7707f24b2a" /><Relationship Type="http://schemas.openxmlformats.org/officeDocument/2006/relationships/worksheet" Target="/xl/worksheets/sheet6.xml" Id="R65b780a12c8c4782" /><Relationship Type="http://schemas.openxmlformats.org/officeDocument/2006/relationships/worksheet" Target="/xl/worksheets/sheet7.xml" Id="Raa0eb7e873274359" /><Relationship Type="http://schemas.openxmlformats.org/officeDocument/2006/relationships/worksheet" Target="/xl/worksheets/sheet8.xml" Id="R87dd09b4a6e04588" /></Relationships>
</file>

<file path=xl/tables/table1.xml><?xml version="1.0" encoding="utf-8"?>
<x:table xmlns:x="http://schemas.openxmlformats.org/spreadsheetml/2006/main" id="1" name="WBS_Solo_Table" displayName="WBS_Solo_Table" ref="A1:O35" headerRowCount="1">
  <x:tableColumns count="15">
    <x:tableColumn id="1" name="WBS ID"/>
    <x:tableColumn id="2" name="Workstream"/>
    <x:tableColumn id="3" name="Phase"/>
    <x:tableColumn id="4" name="Task"/>
    <x:tableColumn id="5" name="Detailed Description"/>
    <x:tableColumn id="6" name="Deliverable"/>
    <x:tableColumn id="7" name="Dependency IDs"/>
    <x:tableColumn id="8" name="Priority"/>
    <x:tableColumn id="9" name="Est. Hours"/>
    <x:tableColumn id="10" name="Sprint Target"/>
    <x:tableColumn id="11" name="Status"/>
    <x:tableColumn id="12" name="Owner"/>
    <x:tableColumn id="13" name="AI-Assisted?"/>
    <x:tableColumn id="14" name="Acceptance Reference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print_Backlog_Table" displayName="Sprint_Backlog_Table" ref="A1:M35" headerRowCount="1">
  <x:tableColumns count="13">
    <x:tableColumn id="1" name="Backlog ID"/>
    <x:tableColumn id="2" name="Sprint"/>
    <x:tableColumn id="3" name="WBS ID"/>
    <x:tableColumn id="4" name="User Story / Task"/>
    <x:tableColumn id="5" name="Why it matters"/>
    <x:tableColumn id="6" name="Dependencies"/>
    <x:tableColumn id="7" name="Priority"/>
    <x:tableColumn id="8" name="Status"/>
    <x:tableColumn id="9" name="Owner"/>
    <x:tableColumn id="10" name="Est. Hours"/>
    <x:tableColumn id="11" name="Acceptance Ref"/>
    <x:tableColumn id="12" name="Demo Evidence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6" name="Sprint_Backlog_Table2" displayName="Sprint_Backlog_Table2" ref="A1:M35" headerRowCount="1">
  <x:tableColumns count="13">
    <x:tableColumn id="1" name="Backlog ID"/>
    <x:tableColumn id="2" name="Sprint"/>
    <x:tableColumn id="3" name="WBS ID"/>
    <x:tableColumn id="4" name="User Story / Task"/>
    <x:tableColumn id="5" name="Why it matters"/>
    <x:tableColumn id="6" name="Dependencies"/>
    <x:tableColumn id="7" name="Priority"/>
    <x:tableColumn id="8" name="Status"/>
    <x:tableColumn id="9" name="Owner"/>
    <x:tableColumn id="10" name="Est. Hours"/>
    <x:tableColumn id="11" name="Acceptance Ref"/>
    <x:tableColumn id="12" name="Demo Evidence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Acceptance_Criteria_Table" displayName="Acceptance_Criteria_Table" ref="A1:F35" headerRowCount="1">
  <x:tableColumns count="6">
    <x:tableColumn id="1" name="Acceptance Ref"/>
    <x:tableColumn id="2" name="WBS ID"/>
    <x:tableColumn id="3" name="Acceptance Criteria"/>
    <x:tableColumn id="4" name="Validation Method"/>
    <x:tableColumn id="5" name="Done?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4" name="Dependencies_Table" displayName="Dependencies_Table" ref="A1:F34" headerRowCount="1">
  <x:tableColumns count="6">
    <x:tableColumn id="1" name="Task ID"/>
    <x:tableColumn id="2" name="Task"/>
    <x:tableColumn id="3" name="Depends On"/>
    <x:tableColumn id="4" name="Dependency Type"/>
    <x:tableColumn id="5" name="Blocking?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5" name="Build_Risks_Table" displayName="Build_Risks_Table" ref="A1:J9" headerRowCount="1">
  <x:tableColumns count="10">
    <x:tableColumn id="1" name="Risk ID"/>
    <x:tableColumn id="2" name="Risk"/>
    <x:tableColumn id="3" name="Likelihood"/>
    <x:tableColumn id="4" name="Impact"/>
    <x:tableColumn id="5" name="Severity"/>
    <x:tableColumn id="6" name="Mitigation"/>
    <x:tableColumn id="7" name="Owner"/>
    <x:tableColumn id="8" name="Status"/>
    <x:tableColumn id="9" name="Trigger"/>
    <x:tableColumn id="10" name="Response Pl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05fce445894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9cdd82564e4d27" /><Relationship Type="http://schemas.openxmlformats.org/officeDocument/2006/relationships/table" Target="/xl/tables/table3.xml" Id="Rf6afccdbd28f4b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1cf7aa296b47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8b5d6c1fba47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488b8eec0444e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4" max="4" width="26" hidden="0" customWidth="1"/>
    <x:col min="5" max="5" width="26" hidden="0" customWidth="1"/>
  </x:cols>
  <x:sheetData>
    <x:row r="1" ht="28" customHeight="1">
      <x:c r="A1" s="8" t="str">
        <x:v>ProjectOps360° — Solo Builder Plan: Phase 0 + MVP-0</x:v>
      </x:c>
      <x:c r="B1" s="8"/>
      <x:c r="C1" s="8"/>
      <x:c r="D1" s="8"/>
      <x:c r="E1" s="8"/>
      <x:c r="F1" s="8"/>
      <x:c r="G1" s="8"/>
      <x:c r="H1" s="8"/>
    </x:row>
    <x:row r="3" ht="40" customHeight="1">
      <x:c r="A3" s="12" t="str">
        <x:v>Purpose: Restructured WBS and sprint backlog for a one-person, AI-assisted build. This file replaces team-based ownership with a solo founder/developer execution model.</x:v>
      </x:c>
      <x:c r="B3" s="12"/>
      <x:c r="C3" s="12"/>
      <x:c r="D3" s="12"/>
      <x:c r="E3" s="12"/>
      <x:c r="F3" s="12"/>
      <x:c r="G3" s="12"/>
      <x:c r="H3" s="12"/>
    </x:row>
    <x:row r="5">
      <x:c r="A5" s="26" t="str">
        <x:v>Decision</x:v>
      </x:c>
      <x:c r="B5" s="27" t="str">
        <x:v>Value</x:v>
      </x:c>
      <x:c r="D5" s="22" t="str">
        <x:v>Metric</x:v>
      </x:c>
      <x:c r="E5" s="22" t="str">
        <x:v>Formula / Value</x:v>
      </x:c>
    </x:row>
    <x:row r="6">
      <x:c r="A6" s="28" t="str">
        <x:v>Execution model</x:v>
      </x:c>
      <x:c r="B6" s="29" t="str">
        <x:v>Solo Founder / Solo Developer, AI-assisted</x:v>
      </x:c>
      <x:c r="D6" s="24" t="str">
        <x:v>Total WBS tasks</x:v>
      </x:c>
      <x:c r="E6" s="34" t="n">
        <x:f>COUNTA(WBS_Solo!A2:A200)</x:f>
        <x:v>34</x:v>
      </x:c>
    </x:row>
    <x:row r="7">
      <x:c r="A7" s="28" t="str">
        <x:v>Primary wedge</x:v>
      </x:c>
      <x:c r="B7" s="29" t="str">
        <x:v>Project Memory &amp; Decision Traceability</x:v>
      </x:c>
      <x:c r="D7" s="24" t="str">
        <x:v>Total estimated hours</x:v>
      </x:c>
      <x:c r="E7" s="34" t="n">
        <x:f>SUM(WBS_Solo!I2:I200)</x:f>
        <x:v>221</x:v>
      </x:c>
    </x:row>
    <x:row r="8">
      <x:c r="A8" s="28" t="str">
        <x:v>Phase 0 outcome</x:v>
      </x:c>
      <x:c r="B8" s="29" t="str">
        <x:v>Secure technical foundation: auth, organization, project shell, RLS, i18n, AI service baseline</x:v>
      </x:c>
      <x:c r="D8" s="24" t="str">
        <x:v>Phase 0 estimated hours</x:v>
      </x:c>
      <x:c r="E8" s="34" t="n">
        <x:f>SUMIF(WBS_Solo!C2:C200,"Phase 0",WBS_Solo!I2:I200)</x:f>
        <x:v>91</x:v>
      </x:c>
    </x:row>
    <x:row r="9">
      <x:c r="A9" s="28" t="str">
        <x:v>MVP-0 outcome</x:v>
      </x:c>
      <x:c r="B9" s="29" t="str">
        <x:v>Create project → log communication/meeting → extract decision/action items with AI → link evidence → retrieve decision later</x:v>
      </x:c>
      <x:c r="D9" s="24" t="str">
        <x:v>MVP-0 estimated hours</x:v>
      </x:c>
      <x:c r="E9" s="34" t="n">
        <x:f>SUMIF(WBS_Solo!C2:C200,"MVP-0",WBS_Solo!I2:I200)</x:f>
        <x:v>130</x:v>
      </x:c>
    </x:row>
    <x:row r="10">
      <x:c r="A10" s="28" t="str">
        <x:v>Sprint length</x:v>
      </x:c>
      <x:c r="B10" s="29" t="str">
        <x:v>2 weeks</x:v>
      </x:c>
      <x:c r="D10" s="24" t="str">
        <x:v>Sprint 0 planned hours</x:v>
      </x:c>
      <x:c r="E10" s="34" t="n">
        <x:f>SUMIF(Sprint_Backlog!B2:B200,"Sprint 0",Sprint_Backlog!J2:J200)</x:f>
        <x:v>27</x:v>
      </x:c>
    </x:row>
    <x:row r="11">
      <x:c r="A11" s="28" t="str">
        <x:v>Planning rule</x:v>
      </x:c>
      <x:c r="B11" s="29" t="str">
        <x:v>Maximum planned capacity = 70% of available hours; keep 30% buffer for debugging/rework</x:v>
      </x:c>
      <x:c r="D11" s="24" t="str">
        <x:v>Sprint 1 planned hours</x:v>
      </x:c>
      <x:c r="E11" s="34" t="n">
        <x:f>SUMIF(Sprint_Backlog!B2:B200,"Sprint 1",Sprint_Backlog!J2:J200)</x:f>
        <x:v>24</x:v>
      </x:c>
    </x:row>
    <x:row r="12">
      <x:c r="A12" s="28" t="str">
        <x:v>i18n</x:v>
      </x:c>
      <x:c r="B12" s="29" t="str">
        <x:v>Foundation from Phase 0 using next-intl; bilingual coverage phased</x:v>
      </x:c>
      <x:c r="D12" s="24" t="str">
        <x:v>Sprint 2 planned hours</x:v>
      </x:c>
      <x:c r="E12" s="34" t="n">
        <x:f>SUMIF(Sprint_Backlog!B2:B200,"Sprint 2",Sprint_Backlog!J2:J200)</x:f>
        <x:v>26</x:v>
      </x:c>
    </x:row>
    <x:row r="13">
      <x:c r="A13" s="28" t="str">
        <x:v>AI</x:v>
      </x:c>
      <x:c r="B13" s="29" t="str">
        <x:v>Transversal assistant with human-in-the-loop; no automatic critical changes</x:v>
      </x:c>
      <x:c r="D13" s="24" t="str">
        <x:v>Sprint 3 planned hours</x:v>
      </x:c>
      <x:c r="E13" s="34" t="n">
        <x:f>SUMIF(Sprint_Backlog!B2:B200,"Sprint 3",Sprint_Backlog!J2:J200)</x:f>
        <x:v>22</x:v>
      </x:c>
    </x:row>
    <x:row r="14">
      <x:c r="A14" s="28" t="str">
        <x:v>Not included in MVP-0</x:v>
      </x:c>
      <x:c r="B14" s="29" t="str">
        <x:v>BPM, ERP, materials/inventory, portfolio PMO, advanced budget, advanced Gantt, full Gmail/Teams/Slack integrations</x:v>
      </x:c>
      <x:c r="D14" s="24" t="str">
        <x:v>Sprint 4 planned hours</x:v>
      </x:c>
      <x:c r="E14" s="34" t="n">
        <x:f>SUMIF(Sprint_Backlog!B2:B200,"Sprint 4",Sprint_Backlog!J2:J200)</x:f>
        <x:v>28</x:v>
      </x:c>
    </x:row>
    <x:row r="15">
      <x:c r="D15" s="24" t="str">
        <x:v>Sprint 5 planned hours</x:v>
      </x:c>
      <x:c r="E15" s="34" t="n">
        <x:f>SUMIF(Sprint_Backlog!B2:B200,"Sprint 5",Sprint_Backlog!J2:J200)</x:f>
        <x:v>20</x:v>
      </x:c>
    </x:row>
    <x:row r="16">
      <x:c r="D16" s="24" t="str">
        <x:v>Sprint 6 planned hours</x:v>
      </x:c>
      <x:c r="E16" s="34" t="n">
        <x:f>SUMIF(Sprint_Backlog!B2:B200,"Sprint 6",Sprint_Backlog!J2:J200)</x:f>
        <x:v>26</x:v>
      </x:c>
    </x:row>
    <x:row r="17">
      <x:c r="D17" s="24" t="str">
        <x:v>Sprint 7 planned hours</x:v>
      </x:c>
      <x:c r="E17" s="34" t="n">
        <x:f>SUMIF(Sprint_Backlog!B2:B200,"Sprint 7",Sprint_Backlog!J2:J200)</x:f>
        <x:v>26</x:v>
      </x:c>
    </x:row>
    <x:row r="18">
      <x:c r="D18" s="24" t="str">
        <x:v>Sprint 8 planned hours</x:v>
      </x:c>
      <x:c r="E18" s="34" t="n">
        <x:f>SUMIF(Sprint_Backlog!B2:B200,"Sprint 8",Sprint_Backlog!J2:J200)</x:f>
        <x:v>22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</x:cols>
  <x:sheetData>
    <x:row r="1" ht="28" customHeight="1">
      <x:c r="A1" s="8" t="str">
        <x:v>Solo Builder Capacity Assumptions</x:v>
      </x:c>
      <x:c r="B1" s="8"/>
      <x:c r="C1" s="8"/>
      <x:c r="D1" s="8"/>
      <x:c r="E1" s="8"/>
      <x:c r="F1" s="8"/>
      <x:c r="G1" s="8"/>
      <x:c r="H1" s="8"/>
    </x:row>
    <x:row r="2">
      <x:c r="B2" s="34"/>
    </x:row>
    <x:row r="3">
      <x:c r="A3" s="26" t="str">
        <x:v>Parameter</x:v>
      </x:c>
      <x:c r="B3" s="42" t="str">
        <x:v>Value</x:v>
      </x:c>
      <x:c r="C3" s="27" t="str">
        <x:v>Notes</x:v>
      </x:c>
    </x:row>
    <x:row r="4">
      <x:c r="A4" s="43" t="str">
        <x:v>Available hours per week</x:v>
      </x:c>
      <x:c r="B4" s="44" t="n">
        <x:v>20</x:v>
      </x:c>
      <x:c r="C4" s="45" t="str">
        <x:v>Change this value if your weekly availability changes.</x:v>
      </x:c>
    </x:row>
    <x:row r="5">
      <x:c r="A5" s="43" t="str">
        <x:v>Sprint length weeks</x:v>
      </x:c>
      <x:c r="B5" s="44" t="n">
        <x:v>2</x:v>
      </x:c>
      <x:c r="C5" s="45" t="str">
        <x:v>Recommended sprint length for solo execution.</x:v>
      </x:c>
    </x:row>
    <x:row r="6">
      <x:c r="A6" s="43" t="str">
        <x:v>Raw sprint capacity hours</x:v>
      </x:c>
      <x:c r="B6" s="44" t="n">
        <x:f>B4*B5</x:f>
        <x:v>40</x:v>
      </x:c>
      <x:c r="C6" s="45" t="str">
        <x:v>Calculated.</x:v>
      </x:c>
    </x:row>
    <x:row r="7">
      <x:c r="A7" s="43" t="str">
        <x:v>Planning load</x:v>
      </x:c>
      <x:c r="B7" s="44" t="n">
        <x:v>0.7</x:v>
      </x:c>
      <x:c r="C7" s="45" t="str">
        <x:v>Plan only 70% of available time.</x:v>
      </x:c>
    </x:row>
    <x:row r="8">
      <x:c r="A8" s="43" t="str">
        <x:v>Planned sprint capacity hours</x:v>
      </x:c>
      <x:c r="B8" s="44" t="n">
        <x:f>B6*B7</x:f>
        <x:v>28</x:v>
      </x:c>
      <x:c r="C8" s="45" t="str">
        <x:v>Maximum workload to commit per sprint.</x:v>
      </x:c>
    </x:row>
    <x:row r="9">
      <x:c r="A9" s="43" t="str">
        <x:v>Buffer percentage</x:v>
      </x:c>
      <x:c r="B9" s="44" t="n">
        <x:v>0.3</x:v>
      </x:c>
      <x:c r="C9" s="45" t="str">
        <x:v>Reserved for debugging, learning, rework, setup problems.</x:v>
      </x:c>
    </x:row>
    <x:row r="10">
      <x:c r="A10" s="46" t="str">
        <x:v>Buffer hours</x:v>
      </x:c>
      <x:c r="B10" s="47" t="n">
        <x:f>B6*B9</x:f>
        <x:v>12</x:v>
      </x:c>
      <x:c r="C10" s="48" t="str">
        <x:v>Calculated.</x:v>
      </x:c>
    </x:row>
    <x:row r="12" ht="32" customHeight="1">
      <x:c r="A12" s="58" t="str">
        <x:v>Solo execution rule: do not fill more than the planned sprint capacity unless a task is very small or unavoidable. Protect the buffer.</x:v>
      </x:c>
      <x:c r="B12" s="58"/>
      <x:c r="C12" s="58"/>
      <x:c r="D12" s="58"/>
      <x:c r="E12" s="58"/>
      <x:c r="F12" s="58"/>
      <x:c r="G12" s="58"/>
      <x:c r="H12" s="58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30" hidden="0" customWidth="1"/>
    <x:col min="5" max="5" width="45" hidden="0" customWidth="1"/>
    <x:col min="6" max="6" width="28" hidden="0" customWidth="1"/>
    <x:col min="7" max="7" width="20" hidden="0" customWidth="1"/>
    <x:col min="8" max="8" width="10" hidden="0" customWidth="1"/>
    <x:col min="9" max="9" width="12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8" hidden="0" customWidth="1"/>
    <x:col min="15" max="15" width="36" hidden="0" customWidth="1"/>
  </x:cols>
  <x:sheetData>
    <x:row r="1" ht="28" customHeight="1">
      <x:c r="A1" s="22" t="str">
        <x:v>WBS ID</x:v>
      </x:c>
      <x:c r="B1" s="22" t="str">
        <x:v>Workstream</x:v>
      </x:c>
      <x:c r="C1" s="22" t="str">
        <x:v>Phase</x:v>
      </x:c>
      <x:c r="D1" s="22" t="str">
        <x:v>Task</x:v>
      </x:c>
      <x:c r="E1" s="22" t="str">
        <x:v>Detailed Description</x:v>
      </x:c>
      <x:c r="F1" s="22" t="str">
        <x:v>Deliverable</x:v>
      </x:c>
      <x:c r="G1" s="22" t="str">
        <x:v>Dependency IDs</x:v>
      </x:c>
      <x:c r="H1" s="22" t="str">
        <x:v>Priority</x:v>
      </x:c>
      <x:c r="I1" s="38" t="str">
        <x:v>Est. Hours</x:v>
      </x:c>
      <x:c r="J1" s="22" t="str">
        <x:v>Sprint Target</x:v>
      </x:c>
      <x:c r="K1" s="22" t="str">
        <x:v>Status</x:v>
      </x:c>
      <x:c r="L1" s="22" t="str">
        <x:v>Owner</x:v>
      </x:c>
      <x:c r="M1" s="22" t="str">
        <x:v>AI-Assisted?</x:v>
      </x:c>
      <x:c r="N1" s="22" t="str">
        <x:v>Acceptance Reference</x:v>
      </x:c>
      <x:c r="O1" s="22" t="str">
        <x:v>Notes</x:v>
      </x:c>
    </x:row>
    <x:row r="2">
      <x:c r="A2" t="str">
        <x:v>0.1</x:v>
      </x:c>
      <x:c r="B2" t="str">
        <x:v>Planning &amp; Scope</x:v>
      </x:c>
      <x:c r="C2" t="str">
        <x:v>Phase 0</x:v>
      </x:c>
      <x:c r="D2" t="str">
        <x:v>Confirm solo-builder scope</x:v>
      </x:c>
      <x:c r="E2" t="str">
        <x:v>Freeze Phase 0 + MVP-0 scope around Project Memory &amp; Decision Traceability.</x:v>
      </x:c>
      <x:c r="F2" t="str">
        <x:v>Approved MVP-0 scope statement</x:v>
      </x:c>
      <x:c r="G2" t="str"/>
      <x:c r="H2" t="str">
        <x:v>P1</x:v>
      </x:c>
      <x:c r="I2" t="n">
        <x:v>2</x:v>
      </x:c>
      <x:c r="J2" t="str">
        <x:v>Sprint 0</x:v>
      </x:c>
      <x:c r="K2" t="str">
        <x:v>Not Started</x:v>
      </x:c>
      <x:c r="L2" t="str">
        <x:v>Founder / Solo Developer</x:v>
      </x:c>
      <x:c r="M2" t="str">
        <x:v>Yes</x:v>
      </x:c>
      <x:c r="N2" t="str">
        <x:v>AC-001</x:v>
      </x:c>
      <x:c r="O2" t="str">
        <x:v>Avoid expanding into full PMO.</x:v>
      </x:c>
    </x:row>
    <x:row r="3">
      <x:c r="A3" t="str">
        <x:v>0.2</x:v>
      </x:c>
      <x:c r="B3" t="str">
        <x:v>Planning &amp; Scope</x:v>
      </x:c>
      <x:c r="C3" t="str">
        <x:v>Phase 0</x:v>
      </x:c>
      <x:c r="D3" t="str">
        <x:v>Create single source of truth folder</x:v>
      </x:c>
      <x:c r="E3" t="str">
        <x:v>Create official documentation folder structure and archive duplicate/old docs.</x:v>
      </x:c>
      <x:c r="F3" t="str">
        <x:v>Source of truth folder</x:v>
      </x:c>
      <x:c r="G3" t="str">
        <x:v>0.1</x:v>
      </x:c>
      <x:c r="H3" t="str">
        <x:v>P1</x:v>
      </x:c>
      <x:c r="I3" t="n">
        <x:v>2</x:v>
      </x:c>
      <x:c r="J3" t="str">
        <x:v>Sprint 0</x:v>
      </x:c>
      <x:c r="K3" t="str">
        <x:v>Not Started</x:v>
      </x:c>
      <x:c r="L3" t="str">
        <x:v>Founder / Solo Developer</x:v>
      </x:c>
      <x:c r="M3" t="str">
        <x:v>No</x:v>
      </x:c>
      <x:c r="N3" t="str">
        <x:v>AC-002</x:v>
      </x:c>
      <x:c r="O3" t="str">
        <x:v>Use one current set of docs.</x:v>
      </x:c>
    </x:row>
    <x:row r="4">
      <x:c r="A4" t="str">
        <x:v>0.3</x:v>
      </x:c>
      <x:c r="B4" t="str">
        <x:v>Planning &amp; Scope</x:v>
      </x:c>
      <x:c r="C4" t="str">
        <x:v>Phase 0</x:v>
      </x:c>
      <x:c r="D4" t="str">
        <x:v>Define Definition of Done</x:v>
      </x:c>
      <x:c r="E4" t="str">
        <x:v>Write DoD for Phase 0 and MVP-0 including manual QA, RLS checks, and demo criteria.</x:v>
      </x:c>
      <x:c r="F4" t="str">
        <x:v>Definition of Done doc</x:v>
      </x:c>
      <x:c r="G4" t="str">
        <x:v>0.1</x:v>
      </x:c>
      <x:c r="H4" t="str">
        <x:v>P1</x:v>
      </x:c>
      <x:c r="I4" t="n">
        <x:v>3</x:v>
      </x:c>
      <x:c r="J4" t="str">
        <x:v>Sprint 0</x:v>
      </x:c>
      <x:c r="K4" t="str">
        <x:v>Not Started</x:v>
      </x:c>
      <x:c r="L4" t="str">
        <x:v>Founder / Solo Developer</x:v>
      </x:c>
      <x:c r="M4" t="str">
        <x:v>Yes</x:v>
      </x:c>
      <x:c r="N4" t="str">
        <x:v>AC-003</x:v>
      </x:c>
      <x:c r="O4" t="str">
        <x:v>Keep practical for solo builder.</x:v>
      </x:c>
    </x:row>
    <x:row r="5">
      <x:c r="A5" t="str">
        <x:v>0.4</x:v>
      </x:c>
      <x:c r="B5" t="str">
        <x:v>Planning &amp; Scope</x:v>
      </x:c>
      <x:c r="C5" t="str">
        <x:v>Phase 0</x:v>
      </x:c>
      <x:c r="D5" t="str">
        <x:v>Create project repo</x:v>
      </x:c>
      <x:c r="E5" t="str">
        <x:v>Create GitHub repository, branch strategy, README, and initial project structure.</x:v>
      </x:c>
      <x:c r="F5" t="str">
        <x:v>GitHub repo</x:v>
      </x:c>
      <x:c r="G5" t="str">
        <x:v>0.1</x:v>
      </x:c>
      <x:c r="H5" t="str">
        <x:v>P1</x:v>
      </x:c>
      <x:c r="I5" t="n">
        <x:v>2</x:v>
      </x:c>
      <x:c r="J5" t="str">
        <x:v>Sprint 0</x:v>
      </x:c>
      <x:c r="K5" t="str">
        <x:v>Not Started</x:v>
      </x:c>
      <x:c r="L5" t="str">
        <x:v>Founder / Solo Developer</x:v>
      </x:c>
      <x:c r="M5" t="str">
        <x:v>Yes</x:v>
      </x:c>
      <x:c r="N5" t="str">
        <x:v>AC-004</x:v>
      </x:c>
      <x:c r="O5" t="str">
        <x:v>Main/develop or trunk-based simple.</x:v>
      </x:c>
    </x:row>
    <x:row r="6">
      <x:c r="A6" t="str">
        <x:v>0.5</x:v>
      </x:c>
      <x:c r="B6" t="str">
        <x:v>Dev Environment</x:v>
      </x:c>
      <x:c r="C6" t="str">
        <x:v>Phase 0</x:v>
      </x:c>
      <x:c r="D6" t="str">
        <x:v>Install Next.js + TypeScript app</x:v>
      </x:c>
      <x:c r="E6" t="str">
        <x:v>Create Next.js app with TypeScript, App Router, ESLint, Tailwind.</x:v>
      </x:c>
      <x:c r="F6" t="str">
        <x:v>Running frontend scaffold</x:v>
      </x:c>
      <x:c r="G6" t="str">
        <x:v>0.4</x:v>
      </x:c>
      <x:c r="H6" t="str">
        <x:v>P1</x:v>
      </x:c>
      <x:c r="I6" t="n">
        <x:v>4</x:v>
      </x:c>
      <x:c r="J6" t="str">
        <x:v>Sprint 0</x:v>
      </x:c>
      <x:c r="K6" t="str">
        <x:v>Not Started</x:v>
      </x:c>
      <x:c r="L6" t="str">
        <x:v>Founder / Solo Developer</x:v>
      </x:c>
      <x:c r="M6" t="str">
        <x:v>Yes</x:v>
      </x:c>
      <x:c r="N6" t="str">
        <x:v>AC-005</x:v>
      </x:c>
      <x:c r="O6" t="str">
        <x:v>Use stable starter stack.</x:v>
      </x:c>
    </x:row>
    <x:row r="7">
      <x:c r="A7" t="str">
        <x:v>0.6</x:v>
      </x:c>
      <x:c r="B7" t="str">
        <x:v>Dev Environment</x:v>
      </x:c>
      <x:c r="C7" t="str">
        <x:v>Phase 0</x:v>
      </x:c>
      <x:c r="D7" t="str">
        <x:v>Install UI foundation</x:v>
      </x:c>
      <x:c r="E7" t="str">
        <x:v>Install shadcn/ui, Lucide icons, base layout, theme colors, typography.</x:v>
      </x:c>
      <x:c r="F7" t="str">
        <x:v>UI foundation</x:v>
      </x:c>
      <x:c r="G7" t="str">
        <x:v>0.5</x:v>
      </x:c>
      <x:c r="H7" t="str">
        <x:v>P1</x:v>
      </x:c>
      <x:c r="I7" t="n">
        <x:v>5</x:v>
      </x:c>
      <x:c r="J7" t="str">
        <x:v>Sprint 0</x:v>
      </x:c>
      <x:c r="K7" t="str">
        <x:v>Not Started</x:v>
      </x:c>
      <x:c r="L7" t="str">
        <x:v>Founder / Solo Developer</x:v>
      </x:c>
      <x:c r="M7" t="str">
        <x:v>Yes</x:v>
      </x:c>
      <x:c r="N7" t="str">
        <x:v>AC-006</x:v>
      </x:c>
      <x:c r="O7" t="str">
        <x:v>Apply soft green branding.</x:v>
      </x:c>
    </x:row>
    <x:row r="8">
      <x:c r="A8" t="str">
        <x:v>0.7</x:v>
      </x:c>
      <x:c r="B8" t="str">
        <x:v>i18n</x:v>
      </x:c>
      <x:c r="C8" t="str">
        <x:v>Phase 0</x:v>
      </x:c>
      <x:c r="D8" t="str">
        <x:v>Install next-intl</x:v>
      </x:c>
      <x:c r="E8" t="str">
        <x:v>Configure next-intl with English and Spanish message files.</x:v>
      </x:c>
      <x:c r="F8" t="str">
        <x:v>i18n foundation</x:v>
      </x:c>
      <x:c r="G8" t="str">
        <x:v>0.5</x:v>
      </x:c>
      <x:c r="H8" t="str">
        <x:v>P1</x:v>
      </x:c>
      <x:c r="I8" t="n">
        <x:v>4</x:v>
      </x:c>
      <x:c r="J8" t="str">
        <x:v>Sprint 0</x:v>
      </x:c>
      <x:c r="K8" t="str">
        <x:v>Not Started</x:v>
      </x:c>
      <x:c r="L8" t="str">
        <x:v>Founder / Solo Developer</x:v>
      </x:c>
      <x:c r="M8" t="str">
        <x:v>Yes</x:v>
      </x:c>
      <x:c r="N8" t="str">
        <x:v>AC-007</x:v>
      </x:c>
      <x:c r="O8" t="str">
        <x:v>Foundation only, not full translation catalog.</x:v>
      </x:c>
    </x:row>
    <x:row r="9">
      <x:c r="A9" t="str">
        <x:v>0.8</x:v>
      </x:c>
      <x:c r="B9" t="str">
        <x:v>i18n</x:v>
      </x:c>
      <x:c r="C9" t="str">
        <x:v>Phase 0</x:v>
      </x:c>
      <x:c r="D9" t="str">
        <x:v>Create language switcher</x:v>
      </x:c>
      <x:c r="E9" t="str">
        <x:v>Add simple ES/EN switcher and persist preference in profile later.</x:v>
      </x:c>
      <x:c r="F9" t="str">
        <x:v>Language switcher UI</x:v>
      </x:c>
      <x:c r="G9" t="str">
        <x:v>0.7</x:v>
      </x:c>
      <x:c r="H9" t="str">
        <x:v>P2</x:v>
      </x:c>
      <x:c r="I9" t="n">
        <x:v>3</x:v>
      </x:c>
      <x:c r="J9" t="str">
        <x:v>Sprint 0</x:v>
      </x:c>
      <x:c r="K9" t="str">
        <x:v>Not Started</x:v>
      </x:c>
      <x:c r="L9" t="str">
        <x:v>Founder / Solo Developer</x:v>
      </x:c>
      <x:c r="M9" t="str">
        <x:v>Yes</x:v>
      </x:c>
      <x:c r="N9" t="str">
        <x:v>AC-008</x:v>
      </x:c>
      <x:c r="O9" t="str">
        <x:v>Can be simple dropdown.</x:v>
      </x:c>
    </x:row>
    <x:row r="10">
      <x:c r="A10" t="str">
        <x:v>0.9</x:v>
      </x:c>
      <x:c r="B10" t="str">
        <x:v>Supabase</x:v>
      </x:c>
      <x:c r="C10" t="str">
        <x:v>Phase 0</x:v>
      </x:c>
      <x:c r="D10" t="str">
        <x:v>Create Supabase project</x:v>
      </x:c>
      <x:c r="E10" t="str">
        <x:v>Create Supabase project, local env variables, and connection keys.</x:v>
      </x:c>
      <x:c r="F10" t="str">
        <x:v>Supabase project</x:v>
      </x:c>
      <x:c r="G10" t="str">
        <x:v>0.4</x:v>
      </x:c>
      <x:c r="H10" t="str">
        <x:v>P1</x:v>
      </x:c>
      <x:c r="I10" t="n">
        <x:v>2</x:v>
      </x:c>
      <x:c r="J10" t="str">
        <x:v>Sprint 0</x:v>
      </x:c>
      <x:c r="K10" t="str">
        <x:v>Not Started</x:v>
      </x:c>
      <x:c r="L10" t="str">
        <x:v>Founder / Solo Developer</x:v>
      </x:c>
      <x:c r="M10" t="str">
        <x:v>No</x:v>
      </x:c>
      <x:c r="N10" t="str">
        <x:v>AC-009</x:v>
      </x:c>
      <x:c r="O10" t="str">
        <x:v>Do not commit secrets.</x:v>
      </x:c>
    </x:row>
    <x:row r="11">
      <x:c r="A11" t="str">
        <x:v>0.10</x:v>
      </x:c>
      <x:c r="B11" t="str">
        <x:v>Supabase</x:v>
      </x:c>
      <x:c r="C11" t="str">
        <x:v>Phase 0</x:v>
      </x:c>
      <x:c r="D11" t="str">
        <x:v>Create baseline DB schema</x:v>
      </x:c>
      <x:c r="E11" t="str">
        <x:v>Create minimal tables for organizations, profiles, projects, stakeholders, communications, decisions, documents, links, ai_runs.</x:v>
      </x:c>
      <x:c r="F11" t="str">
        <x:v>Migration scripts</x:v>
      </x:c>
      <x:c r="G11" t="str">
        <x:v>0.9</x:v>
      </x:c>
      <x:c r="H11" t="str">
        <x:v>P1</x:v>
      </x:c>
      <x:c r="I11" t="n">
        <x:v>10</x:v>
      </x:c>
      <x:c r="J11" t="str">
        <x:v>Sprint 1</x:v>
      </x:c>
      <x:c r="K11" t="str">
        <x:v>Not Started</x:v>
      </x:c>
      <x:c r="L11" t="str">
        <x:v>Founder / Solo Developer</x:v>
      </x:c>
      <x:c r="M11" t="str">
        <x:v>Yes</x:v>
      </x:c>
      <x:c r="N11" t="str">
        <x:v>AC-010</x:v>
      </x:c>
      <x:c r="O11" t="str">
        <x:v>Build only MVP-0 tables.</x:v>
      </x:c>
    </x:row>
    <x:row r="12">
      <x:c r="A12" t="str">
        <x:v>0.11</x:v>
      </x:c>
      <x:c r="B12" t="str">
        <x:v>Security</x:v>
      </x:c>
      <x:c r="C12" t="str">
        <x:v>Phase 0</x:v>
      </x:c>
      <x:c r="D12" t="str">
        <x:v>Configure Supabase Auth</x:v>
      </x:c>
      <x:c r="E12" t="str">
        <x:v>Set up email/password auth and protected app routes.</x:v>
      </x:c>
      <x:c r="F12" t="str">
        <x:v>Working authentication</x:v>
      </x:c>
      <x:c r="G12" t="str">
        <x:v>0.9,0.5</x:v>
      </x:c>
      <x:c r="H12" t="str">
        <x:v>P1</x:v>
      </x:c>
      <x:c r="I12" t="n">
        <x:v>6</x:v>
      </x:c>
      <x:c r="J12" t="str">
        <x:v>Sprint 1</x:v>
      </x:c>
      <x:c r="K12" t="str">
        <x:v>Not Started</x:v>
      </x:c>
      <x:c r="L12" t="str">
        <x:v>Founder / Solo Developer</x:v>
      </x:c>
      <x:c r="M12" t="str">
        <x:v>Yes</x:v>
      </x:c>
      <x:c r="N12" t="str">
        <x:v>AC-011</x:v>
      </x:c>
      <x:c r="O12" t="str">
        <x:v>Magic link optional later.</x:v>
      </x:c>
    </x:row>
    <x:row r="13">
      <x:c r="A13" t="str">
        <x:v>0.12</x:v>
      </x:c>
      <x:c r="B13" t="str">
        <x:v>Security</x:v>
      </x:c>
      <x:c r="C13" t="str">
        <x:v>Phase 0</x:v>
      </x:c>
      <x:c r="D13" t="str">
        <x:v>Implement organization membership model</x:v>
      </x:c>
      <x:c r="E13" t="str">
        <x:v>Create membership table and helpers to retrieve user org context.</x:v>
      </x:c>
      <x:c r="F13" t="str">
        <x:v>Org membership logic</x:v>
      </x:c>
      <x:c r="G13" t="str">
        <x:v>0.10,0.11</x:v>
      </x:c>
      <x:c r="H13" t="str">
        <x:v>P1</x:v>
      </x:c>
      <x:c r="I13" t="n">
        <x:v>8</x:v>
      </x:c>
      <x:c r="J13" t="str">
        <x:v>Sprint 1</x:v>
      </x:c>
      <x:c r="K13" t="str">
        <x:v>Not Started</x:v>
      </x:c>
      <x:c r="L13" t="str">
        <x:v>Founder / Solo Developer</x:v>
      </x:c>
      <x:c r="M13" t="str">
        <x:v>Yes</x:v>
      </x:c>
      <x:c r="N13" t="str">
        <x:v>AC-012</x:v>
      </x:c>
      <x:c r="O13" t="str">
        <x:v>Single org support acceptable initially.</x:v>
      </x:c>
    </x:row>
    <x:row r="14">
      <x:c r="A14" t="str">
        <x:v>0.13</x:v>
      </x:c>
      <x:c r="B14" t="str">
        <x:v>Security</x:v>
      </x:c>
      <x:c r="C14" t="str">
        <x:v>Phase 0</x:v>
      </x:c>
      <x:c r="D14" t="str">
        <x:v>Create initial RLS policies</x:v>
      </x:c>
      <x:c r="E14" t="str">
        <x:v>Add RLS for org-scoped access to MVP-0 tables.</x:v>
      </x:c>
      <x:c r="F14" t="str">
        <x:v>RLS policies</x:v>
      </x:c>
      <x:c r="G14" t="str">
        <x:v>0.10,0.12</x:v>
      </x:c>
      <x:c r="H14" t="str">
        <x:v>P1</x:v>
      </x:c>
      <x:c r="I14" t="n">
        <x:v>10</x:v>
      </x:c>
      <x:c r="J14" t="str">
        <x:v>Sprint 2</x:v>
      </x:c>
      <x:c r="K14" t="str">
        <x:v>Not Started</x:v>
      </x:c>
      <x:c r="L14" t="str">
        <x:v>Founder / Solo Developer</x:v>
      </x:c>
      <x:c r="M14" t="str">
        <x:v>Yes</x:v>
      </x:c>
      <x:c r="N14" t="str">
        <x:v>AC-013</x:v>
      </x:c>
      <x:c r="O14" t="str">
        <x:v>RLS must block cross-org access.</x:v>
      </x:c>
    </x:row>
    <x:row r="15">
      <x:c r="A15" t="str">
        <x:v>0.14</x:v>
      </x:c>
      <x:c r="B15" t="str">
        <x:v>Security</x:v>
      </x:c>
      <x:c r="C15" t="str">
        <x:v>Phase 0</x:v>
      </x:c>
      <x:c r="D15" t="str">
        <x:v>Create RLS smoke tests</x:v>
      </x:c>
      <x:c r="E15" t="str">
        <x:v>Create manual/automated basic tests for org isolation.</x:v>
      </x:c>
      <x:c r="F15" t="str">
        <x:v>RLS test checklist</x:v>
      </x:c>
      <x:c r="G15" t="str">
        <x:v>0.13</x:v>
      </x:c>
      <x:c r="H15" t="str">
        <x:v>P1</x:v>
      </x:c>
      <x:c r="I15" t="n">
        <x:v>6</x:v>
      </x:c>
      <x:c r="J15" t="str">
        <x:v>Sprint 2</x:v>
      </x:c>
      <x:c r="K15" t="str">
        <x:v>Not Started</x:v>
      </x:c>
      <x:c r="L15" t="str">
        <x:v>Founder / Solo Developer</x:v>
      </x:c>
      <x:c r="M15" t="str">
        <x:v>Yes</x:v>
      </x:c>
      <x:c r="N15" t="str">
        <x:v>AC-014</x:v>
      </x:c>
      <x:c r="O15" t="str">
        <x:v>Do at least manual SQL tests if automated tests take too long.</x:v>
      </x:c>
    </x:row>
    <x:row r="16">
      <x:c r="A16" t="str">
        <x:v>0.15</x:v>
      </x:c>
      <x:c r="B16" t="str">
        <x:v>AI Foundation</x:v>
      </x:c>
      <x:c r="C16" t="str">
        <x:v>Phase 0</x:v>
      </x:c>
      <x:c r="D16" t="str">
        <x:v>Create AI service abstraction</x:v>
      </x:c>
      <x:c r="E16" t="str">
        <x:v>Create backend AI service wrapper with provider abstraction, prompt registry skeleton, and ai_runs logging.</x:v>
      </x:c>
      <x:c r="F16" t="str">
        <x:v>AI service baseline</x:v>
      </x:c>
      <x:c r="G16" t="str">
        <x:v>0.10</x:v>
      </x:c>
      <x:c r="H16" t="str">
        <x:v>P1</x:v>
      </x:c>
      <x:c r="I16" t="n">
        <x:v>8</x:v>
      </x:c>
      <x:c r="J16" t="str">
        <x:v>Sprint 2</x:v>
      </x:c>
      <x:c r="K16" t="str">
        <x:v>Not Started</x:v>
      </x:c>
      <x:c r="L16" t="str">
        <x:v>Founder / Solo Developer</x:v>
      </x:c>
      <x:c r="M16" t="str">
        <x:v>Yes</x:v>
      </x:c>
      <x:c r="N16" t="str">
        <x:v>AC-015</x:v>
      </x:c>
      <x:c r="O16" t="str">
        <x:v>No direct model calls from UI.</x:v>
      </x:c>
    </x:row>
    <x:row r="17">
      <x:c r="A17" t="str">
        <x:v>0.16</x:v>
      </x:c>
      <x:c r="B17" t="str">
        <x:v>AI Foundation</x:v>
      </x:c>
      <x:c r="C17" t="str">
        <x:v>Phase 0</x:v>
      </x:c>
      <x:c r="D17" t="str">
        <x:v>Configure AI environment variables</x:v>
      </x:c>
      <x:c r="E17" t="str">
        <x:v>Add secure model keys, server-only access, and local env documentation.</x:v>
      </x:c>
      <x:c r="F17" t="str">
        <x:v>AI env setup</x:v>
      </x:c>
      <x:c r="G17" t="str">
        <x:v>0.15</x:v>
      </x:c>
      <x:c r="H17" t="str">
        <x:v>P1</x:v>
      </x:c>
      <x:c r="I17" t="n">
        <x:v>2</x:v>
      </x:c>
      <x:c r="J17" t="str">
        <x:v>Sprint 2</x:v>
      </x:c>
      <x:c r="K17" t="str">
        <x:v>Not Started</x:v>
      </x:c>
      <x:c r="L17" t="str">
        <x:v>Founder / Solo Developer</x:v>
      </x:c>
      <x:c r="M17" t="str">
        <x:v>No</x:v>
      </x:c>
      <x:c r="N17" t="str">
        <x:v>AC-016</x:v>
      </x:c>
      <x:c r="O17" t="str">
        <x:v>Secrets server-side only.</x:v>
      </x:c>
    </x:row>
    <x:row r="18">
      <x:c r="A18" t="str">
        <x:v>0.17</x:v>
      </x:c>
      <x:c r="B18" t="str">
        <x:v>Core UI</x:v>
      </x:c>
      <x:c r="C18" t="str">
        <x:v>Phase 0</x:v>
      </x:c>
      <x:c r="D18" t="str">
        <x:v>Create app shell navigation</x:v>
      </x:c>
      <x:c r="E18" t="str">
        <x:v>Create dashboard layout, sidebar, project area, settings placeholder.</x:v>
      </x:c>
      <x:c r="F18" t="str">
        <x:v>App shell</x:v>
      </x:c>
      <x:c r="G18" t="str">
        <x:v>0.6,0.11</x:v>
      </x:c>
      <x:c r="H18" t="str">
        <x:v>P1</x:v>
      </x:c>
      <x:c r="I18" t="n">
        <x:v>6</x:v>
      </x:c>
      <x:c r="J18" t="str">
        <x:v>Sprint 3</x:v>
      </x:c>
      <x:c r="K18" t="str">
        <x:v>Not Started</x:v>
      </x:c>
      <x:c r="L18" t="str">
        <x:v>Founder / Solo Developer</x:v>
      </x:c>
      <x:c r="M18" t="str">
        <x:v>Yes</x:v>
      </x:c>
      <x:c r="N18" t="str">
        <x:v>AC-017</x:v>
      </x:c>
      <x:c r="O18" t="str">
        <x:v>Minimal but clean.</x:v>
      </x:c>
    </x:row>
    <x:row r="19">
      <x:c r="A19" t="str">
        <x:v>0.18</x:v>
      </x:c>
      <x:c r="B19" t="str">
        <x:v>Core UI</x:v>
      </x:c>
      <x:c r="C19" t="str">
        <x:v>Phase 0</x:v>
      </x:c>
      <x:c r="D19" t="str">
        <x:v>Create project shell</x:v>
      </x:c>
      <x:c r="E19" t="str">
        <x:v>Allow create/view one project with name, description, status, default language.</x:v>
      </x:c>
      <x:c r="F19" t="str">
        <x:v>Project shell UI</x:v>
      </x:c>
      <x:c r="G19" t="str">
        <x:v>0.10,0.17</x:v>
      </x:c>
      <x:c r="H19" t="str">
        <x:v>P1</x:v>
      </x:c>
      <x:c r="I19" t="n">
        <x:v>8</x:v>
      </x:c>
      <x:c r="J19" t="str">
        <x:v>Sprint 3</x:v>
      </x:c>
      <x:c r="K19" t="str">
        <x:v>Not Started</x:v>
      </x:c>
      <x:c r="L19" t="str">
        <x:v>Founder / Solo Developer</x:v>
      </x:c>
      <x:c r="M19" t="str">
        <x:v>Yes</x:v>
      </x:c>
      <x:c r="N19" t="str">
        <x:v>AC-018</x:v>
      </x:c>
      <x:c r="O19" t="str">
        <x:v>First project can be manually created.</x:v>
      </x:c>
    </x:row>
    <x:row r="20">
      <x:c r="A20" t="str">
        <x:v>1.1</x:v>
      </x:c>
      <x:c r="B20" t="str">
        <x:v>MVP-0 Core</x:v>
      </x:c>
      <x:c r="C20" t="str">
        <x:v>MVP-0</x:v>
      </x:c>
      <x:c r="D20" t="str">
        <x:v>Create stakeholder register basic</x:v>
      </x:c>
      <x:c r="E20" t="str">
        <x:v>CRUD stakeholders with name, role, organization, language preference, communication preference.</x:v>
      </x:c>
      <x:c r="F20" t="str">
        <x:v>Stakeholder register</x:v>
      </x:c>
      <x:c r="G20" t="str">
        <x:v>0.18</x:v>
      </x:c>
      <x:c r="H20" t="str">
        <x:v>P1</x:v>
      </x:c>
      <x:c r="I20" t="n">
        <x:v>8</x:v>
      </x:c>
      <x:c r="J20" t="str">
        <x:v>Sprint 3</x:v>
      </x:c>
      <x:c r="K20" t="str">
        <x:v>Not Started</x:v>
      </x:c>
      <x:c r="L20" t="str">
        <x:v>Founder / Solo Developer</x:v>
      </x:c>
      <x:c r="M20" t="str">
        <x:v>Yes</x:v>
      </x:c>
      <x:c r="N20" t="str">
        <x:v>AC-019</x:v>
      </x:c>
      <x:c r="O20" t="str">
        <x:v>No complex matrix yet.</x:v>
      </x:c>
    </x:row>
    <x:row r="21">
      <x:c r="A21" t="str">
        <x:v>1.2</x:v>
      </x:c>
      <x:c r="B21" t="str">
        <x:v>MVP-0 Core</x:v>
      </x:c>
      <x:c r="C21" t="str">
        <x:v>MVP-0</x:v>
      </x:c>
      <x:c r="D21" t="str">
        <x:v>Create communication log manual</x:v>
      </x:c>
      <x:c r="E21" t="str">
        <x:v>CRUD communication items: source, title, summary, date, sender, recipients, project, notes.</x:v>
      </x:c>
      <x:c r="F21" t="str">
        <x:v>Communication log</x:v>
      </x:c>
      <x:c r="G21" t="str">
        <x:v>0.18,1.1</x:v>
      </x:c>
      <x:c r="H21" t="str">
        <x:v>P1</x:v>
      </x:c>
      <x:c r="I21" t="n">
        <x:v>10</x:v>
      </x:c>
      <x:c r="J21" t="str">
        <x:v>Sprint 4</x:v>
      </x:c>
      <x:c r="K21" t="str">
        <x:v>Not Started</x:v>
      </x:c>
      <x:c r="L21" t="str">
        <x:v>Founder / Solo Developer</x:v>
      </x:c>
      <x:c r="M21" t="str">
        <x:v>Yes</x:v>
      </x:c>
      <x:c r="N21" t="str">
        <x:v>AC-020</x:v>
      </x:c>
      <x:c r="O21" t="str">
        <x:v>Manual entry only; no Gmail/Teams yet.</x:v>
      </x:c>
    </x:row>
    <x:row r="22">
      <x:c r="A22" t="str">
        <x:v>1.3</x:v>
      </x:c>
      <x:c r="B22" t="str">
        <x:v>MVP-0 Core</x:v>
      </x:c>
      <x:c r="C22" t="str">
        <x:v>MVP-0</x:v>
      </x:c>
      <x:c r="D22" t="str">
        <x:v>Create meeting notes screen</x:v>
      </x:c>
      <x:c r="E22" t="str">
        <x:v>Allow logging meeting title, date, attendees, notes, linked project.</x:v>
      </x:c>
      <x:c r="F22" t="str">
        <x:v>Meeting notes UI</x:v>
      </x:c>
      <x:c r="G22" t="str">
        <x:v>0.18,1.1</x:v>
      </x:c>
      <x:c r="H22" t="str">
        <x:v>P1</x:v>
      </x:c>
      <x:c r="I22" t="n">
        <x:v>8</x:v>
      </x:c>
      <x:c r="J22" t="str">
        <x:v>Sprint 4</x:v>
      </x:c>
      <x:c r="K22" t="str">
        <x:v>Not Started</x:v>
      </x:c>
      <x:c r="L22" t="str">
        <x:v>Founder / Solo Developer</x:v>
      </x:c>
      <x:c r="M22" t="str">
        <x:v>Yes</x:v>
      </x:c>
      <x:c r="N22" t="str">
        <x:v>AC-021</x:v>
      </x:c>
      <x:c r="O22" t="str">
        <x:v>Simple rich text optional.</x:v>
      </x:c>
    </x:row>
    <x:row r="23">
      <x:c r="A23" t="str">
        <x:v>1.4</x:v>
      </x:c>
      <x:c r="B23" t="str">
        <x:v>MVP-0 Core</x:v>
      </x:c>
      <x:c r="C23" t="str">
        <x:v>MVP-0</x:v>
      </x:c>
      <x:c r="D23" t="str">
        <x:v>Create decision log</x:v>
      </x:c>
      <x:c r="E23" t="str">
        <x:v>CRUD decisions with title, description, decision maker, date, source, impact area, evidence link.</x:v>
      </x:c>
      <x:c r="F23" t="str">
        <x:v>Decision log</x:v>
      </x:c>
      <x:c r="G23" t="str">
        <x:v>1.2,1.3</x:v>
      </x:c>
      <x:c r="H23" t="str">
        <x:v>P1</x:v>
      </x:c>
      <x:c r="I23" t="n">
        <x:v>10</x:v>
      </x:c>
      <x:c r="J23" t="str">
        <x:v>Sprint 4</x:v>
      </x:c>
      <x:c r="K23" t="str">
        <x:v>Not Started</x:v>
      </x:c>
      <x:c r="L23" t="str">
        <x:v>Founder / Solo Developer</x:v>
      </x:c>
      <x:c r="M23" t="str">
        <x:v>Yes</x:v>
      </x:c>
      <x:c r="N23" t="str">
        <x:v>AC-022</x:v>
      </x:c>
      <x:c r="O23" t="str">
        <x:v>Decision must link to project.</x:v>
      </x:c>
    </x:row>
    <x:row r="24">
      <x:c r="A24" t="str">
        <x:v>1.5</x:v>
      </x:c>
      <x:c r="B24" t="str">
        <x:v>Documents &amp; Evidence</x:v>
      </x:c>
      <x:c r="C24" t="str">
        <x:v>MVP-0</x:v>
      </x:c>
      <x:c r="D24" t="str">
        <x:v>Create document/evidence repository basic</x:v>
      </x:c>
      <x:c r="E24" t="str">
        <x:v>Upload or register document/evidence link with type, owner, status, project, language.</x:v>
      </x:c>
      <x:c r="F24" t="str">
        <x:v>Evidence repository</x:v>
      </x:c>
      <x:c r="G24" t="str">
        <x:v>0.10,0.18</x:v>
      </x:c>
      <x:c r="H24" t="str">
        <x:v>P1</x:v>
      </x:c>
      <x:c r="I24" t="n">
        <x:v>8</x:v>
      </x:c>
      <x:c r="J24" t="str">
        <x:v>Sprint 5</x:v>
      </x:c>
      <x:c r="K24" t="str">
        <x:v>Not Started</x:v>
      </x:c>
      <x:c r="L24" t="str">
        <x:v>Founder / Solo Developer</x:v>
      </x:c>
      <x:c r="M24" t="str">
        <x:v>Yes</x:v>
      </x:c>
      <x:c r="N24" t="str">
        <x:v>AC-023</x:v>
      </x:c>
      <x:c r="O24" t="str">
        <x:v>Supabase Storage or external URL.</x:v>
      </x:c>
    </x:row>
    <x:row r="25">
      <x:c r="A25" t="str">
        <x:v>1.6</x:v>
      </x:c>
      <x:c r="B25" t="str">
        <x:v>Traceability</x:v>
      </x:c>
      <x:c r="C25" t="str">
        <x:v>MVP-0</x:v>
      </x:c>
      <x:c r="D25" t="str">
        <x:v>Create traceability links table UI</x:v>
      </x:c>
      <x:c r="E25" t="str">
        <x:v>Allow linking communication, meeting, decision, and document records.</x:v>
      </x:c>
      <x:c r="F25" t="str">
        <x:v>Traceability links UI</x:v>
      </x:c>
      <x:c r="G25" t="str">
        <x:v>1.2,1.3,1.4,1.5</x:v>
      </x:c>
      <x:c r="H25" t="str">
        <x:v>P1</x:v>
      </x:c>
      <x:c r="I25" t="n">
        <x:v>12</x:v>
      </x:c>
      <x:c r="J25" t="str">
        <x:v>Sprint 5</x:v>
      </x:c>
      <x:c r="K25" t="str">
        <x:v>Not Started</x:v>
      </x:c>
      <x:c r="L25" t="str">
        <x:v>Founder / Solo Developer</x:v>
      </x:c>
      <x:c r="M25" t="str">
        <x:v>Yes</x:v>
      </x:c>
      <x:c r="N25" t="str">
        <x:v>AC-024</x:v>
      </x:c>
      <x:c r="O25" t="str">
        <x:v>At least decision-to-evidence and communication-to-decision.</x:v>
      </x:c>
    </x:row>
    <x:row r="26">
      <x:c r="A26" t="str">
        <x:v>1.7</x:v>
      </x:c>
      <x:c r="B26" t="str">
        <x:v>AI MVP</x:v>
      </x:c>
      <x:c r="C26" t="str">
        <x:v>MVP-0</x:v>
      </x:c>
      <x:c r="D26" t="str">
        <x:v>AI extract decisions from meeting notes</x:v>
      </x:c>
      <x:c r="E26" t="str">
        <x:v>Send meeting notes to AI and return suggested decisions requiring user confirmation.</x:v>
      </x:c>
      <x:c r="F26" t="str">
        <x:v>AI decision extraction</x:v>
      </x:c>
      <x:c r="G26" t="str">
        <x:v>0.15,1.3,1.4</x:v>
      </x:c>
      <x:c r="H26" t="str">
        <x:v>P1</x:v>
      </x:c>
      <x:c r="I26" t="n">
        <x:v>10</x:v>
      </x:c>
      <x:c r="J26" t="str">
        <x:v>Sprint 6</x:v>
      </x:c>
      <x:c r="K26" t="str">
        <x:v>Not Started</x:v>
      </x:c>
      <x:c r="L26" t="str">
        <x:v>Founder / Solo Developer</x:v>
      </x:c>
      <x:c r="M26" t="str">
        <x:v>Yes</x:v>
      </x:c>
      <x:c r="N26" t="str">
        <x:v>AC-025</x:v>
      </x:c>
      <x:c r="O26" t="str">
        <x:v>Human confirmation required.</x:v>
      </x:c>
    </x:row>
    <x:row r="27">
      <x:c r="A27" t="str">
        <x:v>1.8</x:v>
      </x:c>
      <x:c r="B27" t="str">
        <x:v>AI MVP</x:v>
      </x:c>
      <x:c r="C27" t="str">
        <x:v>MVP-0</x:v>
      </x:c>
      <x:c r="D27" t="str">
        <x:v>AI extract action items</x:v>
      </x:c>
      <x:c r="E27" t="str">
        <x:v>Extract action items from communication/meeting notes and save as suggested follow-ups.</x:v>
      </x:c>
      <x:c r="F27" t="str">
        <x:v>AI action item extraction</x:v>
      </x:c>
      <x:c r="G27" t="str">
        <x:v>0.15,1.2,1.3</x:v>
      </x:c>
      <x:c r="H27" t="str">
        <x:v>P1</x:v>
      </x:c>
      <x:c r="I27" t="n">
        <x:v>8</x:v>
      </x:c>
      <x:c r="J27" t="str">
        <x:v>Sprint 6</x:v>
      </x:c>
      <x:c r="K27" t="str">
        <x:v>Not Started</x:v>
      </x:c>
      <x:c r="L27" t="str">
        <x:v>Founder / Solo Developer</x:v>
      </x:c>
      <x:c r="M27" t="str">
        <x:v>Yes</x:v>
      </x:c>
      <x:c r="N27" t="str">
        <x:v>AC-026</x:v>
      </x:c>
      <x:c r="O27" t="str">
        <x:v>Can save to action_items or notes if tasks not built.</x:v>
      </x:c>
    </x:row>
    <x:row r="28">
      <x:c r="A28" t="str">
        <x:v>1.9</x:v>
      </x:c>
      <x:c r="B28" t="str">
        <x:v>AI MVP</x:v>
      </x:c>
      <x:c r="C28" t="str">
        <x:v>MVP-0</x:v>
      </x:c>
      <x:c r="D28" t="str">
        <x:v>AI summarize communication history</x:v>
      </x:c>
      <x:c r="E28" t="str">
        <x:v>Generate a project communication summary from existing communications and decisions.</x:v>
      </x:c>
      <x:c r="F28" t="str">
        <x:v>AI summary</x:v>
      </x:c>
      <x:c r="G28" t="str">
        <x:v>1.2,1.4,0.15</x:v>
      </x:c>
      <x:c r="H28" t="str">
        <x:v>P2</x:v>
      </x:c>
      <x:c r="I28" t="n">
        <x:v>8</x:v>
      </x:c>
      <x:c r="J28" t="str">
        <x:v>Sprint 6</x:v>
      </x:c>
      <x:c r="K28" t="str">
        <x:v>Not Started</x:v>
      </x:c>
      <x:c r="L28" t="str">
        <x:v>Founder / Solo Developer</x:v>
      </x:c>
      <x:c r="M28" t="str">
        <x:v>Yes</x:v>
      </x:c>
      <x:c r="N28" t="str">
        <x:v>AC-027</x:v>
      </x:c>
      <x:c r="O28" t="str">
        <x:v>Must cite linked records in app UI.</x:v>
      </x:c>
    </x:row>
    <x:row r="29">
      <x:c r="A29" t="str">
        <x:v>1.10</x:v>
      </x:c>
      <x:c r="B29" t="str">
        <x:v>Search &amp; Retrieval</x:v>
      </x:c>
      <x:c r="C29" t="str">
        <x:v>MVP-0</x:v>
      </x:c>
      <x:c r="D29" t="str">
        <x:v>Create basic search</x:v>
      </x:c>
      <x:c r="E29" t="str">
        <x:v>Search communications, meetings, decisions, and documents by keyword.</x:v>
      </x:c>
      <x:c r="F29" t="str">
        <x:v>Basic search</x:v>
      </x:c>
      <x:c r="G29" t="str">
        <x:v>1.2,1.3,1.4,1.5</x:v>
      </x:c>
      <x:c r="H29" t="str">
        <x:v>P1</x:v>
      </x:c>
      <x:c r="I29" t="n">
        <x:v>8</x:v>
      </x:c>
      <x:c r="J29" t="str">
        <x:v>Sprint 7</x:v>
      </x:c>
      <x:c r="K29" t="str">
        <x:v>Not Started</x:v>
      </x:c>
      <x:c r="L29" t="str">
        <x:v>Founder / Solo Developer</x:v>
      </x:c>
      <x:c r="M29" t="str">
        <x:v>Yes</x:v>
      </x:c>
      <x:c r="N29" t="str">
        <x:v>AC-028</x:v>
      </x:c>
      <x:c r="O29" t="str">
        <x:v>Semantic search can come later.</x:v>
      </x:c>
    </x:row>
    <x:row r="30">
      <x:c r="A30" t="str">
        <x:v>1.11</x:v>
      </x:c>
      <x:c r="B30" t="str">
        <x:v>Dashboard</x:v>
      </x:c>
      <x:c r="C30" t="str">
        <x:v>MVP-0</x:v>
      </x:c>
      <x:c r="D30" t="str">
        <x:v>Create MVP-0 project memory dashboard</x:v>
      </x:c>
      <x:c r="E30" t="str">
        <x:v>Show recent communications, decisions, evidence items, unresolved AI suggestions, missing links.</x:v>
      </x:c>
      <x:c r="F30" t="str">
        <x:v>Project memory dashboard</x:v>
      </x:c>
      <x:c r="G30" t="str">
        <x:v>1.2,1.4,1.5,1.6</x:v>
      </x:c>
      <x:c r="H30" t="str">
        <x:v>P1</x:v>
      </x:c>
      <x:c r="I30" t="n">
        <x:v>10</x:v>
      </x:c>
      <x:c r="J30" t="str">
        <x:v>Sprint 7</x:v>
      </x:c>
      <x:c r="K30" t="str">
        <x:v>Not Started</x:v>
      </x:c>
      <x:c r="L30" t="str">
        <x:v>Founder / Solo Developer</x:v>
      </x:c>
      <x:c r="M30" t="str">
        <x:v>Yes</x:v>
      </x:c>
      <x:c r="N30" t="str">
        <x:v>AC-029</x:v>
      </x:c>
      <x:c r="O30" t="str">
        <x:v>Dashboard answers: what happened, what was decided, where is evidence.</x:v>
      </x:c>
    </x:row>
    <x:row r="31">
      <x:c r="A31" t="str">
        <x:v>1.12</x:v>
      </x:c>
      <x:c r="B31" t="str">
        <x:v>Audit</x:v>
      </x:c>
      <x:c r="C31" t="str">
        <x:v>MVP-0</x:v>
      </x:c>
      <x:c r="D31" t="str">
        <x:v>Add audit log for critical records</x:v>
      </x:c>
      <x:c r="E31" t="str">
        <x:v>Log create/update/delete on decisions, documents, communication links, AI runs.</x:v>
      </x:c>
      <x:c r="F31" t="str">
        <x:v>Audit logging</x:v>
      </x:c>
      <x:c r="G31" t="str">
        <x:v>0.10,1.4,1.5,1.6</x:v>
      </x:c>
      <x:c r="H31" t="str">
        <x:v>P2</x:v>
      </x:c>
      <x:c r="I31" t="n">
        <x:v>8</x:v>
      </x:c>
      <x:c r="J31" t="str">
        <x:v>Sprint 7</x:v>
      </x:c>
      <x:c r="K31" t="str">
        <x:v>Not Started</x:v>
      </x:c>
      <x:c r="L31" t="str">
        <x:v>Founder / Solo Developer</x:v>
      </x:c>
      <x:c r="M31" t="str">
        <x:v>Yes</x:v>
      </x:c>
      <x:c r="N31" t="str">
        <x:v>AC-030</x:v>
      </x:c>
      <x:c r="O31" t="str">
        <x:v>Critical for trust.</x:v>
      </x:c>
    </x:row>
    <x:row r="32">
      <x:c r="A32" t="str">
        <x:v>1.13</x:v>
      </x:c>
      <x:c r="B32" t="str">
        <x:v>QA</x:v>
      </x:c>
      <x:c r="C32" t="str">
        <x:v>MVP-0</x:v>
      </x:c>
      <x:c r="D32" t="str">
        <x:v>Manual end-to-end scenario test</x:v>
      </x:c>
      <x:c r="E32" t="str">
        <x:v>Test full vertical slice: create project → meeting → AI extract decision → link evidence → search decision.</x:v>
      </x:c>
      <x:c r="F32" t="str">
        <x:v>E2E test evidence</x:v>
      </x:c>
      <x:c r="G32" t="str">
        <x:v>1.6,1.7,1.10,1.11</x:v>
      </x:c>
      <x:c r="H32" t="str">
        <x:v>P1</x:v>
      </x:c>
      <x:c r="I32" t="n">
        <x:v>6</x:v>
      </x:c>
      <x:c r="J32" t="str">
        <x:v>Sprint 8</x:v>
      </x:c>
      <x:c r="K32" t="str">
        <x:v>Not Started</x:v>
      </x:c>
      <x:c r="L32" t="str">
        <x:v>Founder / Solo Developer</x:v>
      </x:c>
      <x:c r="M32" t="str">
        <x:v>No</x:v>
      </x:c>
      <x:c r="N32" t="str">
        <x:v>AC-031</x:v>
      </x:c>
      <x:c r="O32" t="str">
        <x:v>Record screenshots or notes.</x:v>
      </x:c>
    </x:row>
    <x:row r="33">
      <x:c r="A33" t="str">
        <x:v>1.14</x:v>
      </x:c>
      <x:c r="B33" t="str">
        <x:v>QA</x:v>
      </x:c>
      <x:c r="C33" t="str">
        <x:v>MVP-0</x:v>
      </x:c>
      <x:c r="D33" t="str">
        <x:v>Performance and AI cost smoke check</x:v>
      </x:c>
      <x:c r="E33" t="str">
        <x:v>Measure page load, AI latency, token cost estimate for common actions.</x:v>
      </x:c>
      <x:c r="F33" t="str">
        <x:v>Performance/cost notes</x:v>
      </x:c>
      <x:c r="G33" t="str">
        <x:v>1.7,1.8,1.9,1.11</x:v>
      </x:c>
      <x:c r="H33" t="str">
        <x:v>P2</x:v>
      </x:c>
      <x:c r="I33" t="n">
        <x:v>4</x:v>
      </x:c>
      <x:c r="J33" t="str">
        <x:v>Sprint 8</x:v>
      </x:c>
      <x:c r="K33" t="str">
        <x:v>Not Started</x:v>
      </x:c>
      <x:c r="L33" t="str">
        <x:v>Founder / Solo Developer</x:v>
      </x:c>
      <x:c r="M33" t="str">
        <x:v>Yes</x:v>
      </x:c>
      <x:c r="N33" t="str">
        <x:v>AC-032</x:v>
      </x:c>
      <x:c r="O33" t="str">
        <x:v>Simple spreadsheet or notes.</x:v>
      </x:c>
    </x:row>
    <x:row r="34">
      <x:c r="A34" t="str">
        <x:v>1.15</x:v>
      </x:c>
      <x:c r="B34" t="str">
        <x:v>Release</x:v>
      </x:c>
      <x:c r="C34" t="str">
        <x:v>MVP-0</x:v>
      </x:c>
      <x:c r="D34" t="str">
        <x:v>Prepare demo script</x:v>
      </x:c>
      <x:c r="E34" t="str">
        <x:v>Create a short demo narrative for MVP-0 wedge.</x:v>
      </x:c>
      <x:c r="F34" t="str">
        <x:v>Demo script</x:v>
      </x:c>
      <x:c r="G34" t="str">
        <x:v>1.11,1.13</x:v>
      </x:c>
      <x:c r="H34" t="str">
        <x:v>P1</x:v>
      </x:c>
      <x:c r="I34" t="n">
        <x:v>4</x:v>
      </x:c>
      <x:c r="J34" t="str">
        <x:v>Sprint 8</x:v>
      </x:c>
      <x:c r="K34" t="str">
        <x:v>Not Started</x:v>
      </x:c>
      <x:c r="L34" t="str">
        <x:v>Founder / Solo Developer</x:v>
      </x:c>
      <x:c r="M34" t="str">
        <x:v>Yes</x:v>
      </x:c>
      <x:c r="N34" t="str">
        <x:v>AC-033</x:v>
      </x:c>
      <x:c r="O34" t="str">
        <x:v>Demo for validation interviews/design partners.</x:v>
      </x:c>
    </x:row>
    <x:row r="35">
      <x:c r="A35" t="str">
        <x:v>1.16</x:v>
      </x:c>
      <x:c r="B35" t="str">
        <x:v>Release</x:v>
      </x:c>
      <x:c r="C35" t="str">
        <x:v>MVP-0</x:v>
      </x:c>
      <x:c r="D35" t="str">
        <x:v>Deploy MVP-0 preview</x:v>
      </x:c>
      <x:c r="E35" t="str">
        <x:v>Deploy to Vercel, configure production Supabase env, basic smoke test.</x:v>
      </x:c>
      <x:c r="F35" t="str">
        <x:v>Preview deployment</x:v>
      </x:c>
      <x:c r="G35" t="str">
        <x:v>0.17,1.13</x:v>
      </x:c>
      <x:c r="H35" t="str">
        <x:v>P1</x:v>
      </x:c>
      <x:c r="I35" t="n">
        <x:v>8</x:v>
      </x:c>
      <x:c r="J35" t="str">
        <x:v>Sprint 8</x:v>
      </x:c>
      <x:c r="K35" t="str">
        <x:v>Not Started</x:v>
      </x:c>
      <x:c r="L35" t="str">
        <x:v>Founder / Solo Developer</x:v>
      </x:c>
      <x:c r="M35" t="str">
        <x:v>Yes</x:v>
      </x:c>
      <x:c r="N35" t="str">
        <x:v>AC-034</x:v>
      </x:c>
      <x:c r="O35" t="str">
        <x:v>Shareable preview link.</x:v>
      </x:c>
    </x:row>
  </x:sheetData>
  <x:conditionalFormatting sqref="K2:K35">
    <x:cfRule type="expression" dxfId="0" priority="1">
      <x:formula>$K2="Done"</x:formula>
    </x:cfRule>
    <x:cfRule type="expression" dxfId="1" priority="2">
      <x:formula>$K2="Blocked"</x:formula>
    </x:cfRule>
  </x:conditionalFormatting>
  <x:conditionalFormatting sqref="H2:H35">
    <x:cfRule type="expression" dxfId="2" priority="3">
      <x:formula>$H2="P1"</x:formula>
    </x:cfRule>
  </x:conditionalFormatting>
  <x:dataValidations count="5">
    <x:dataValidation type="list" sqref="K2:K35">
      <x:formula1>"Not Started,In Progress,Blocked,Done,Deferred"</x:formula1>
    </x:dataValidation>
    <x:dataValidation type="list" sqref="H2:H35">
      <x:formula1>"P1,P2,P3"</x:formula1>
    </x:dataValidation>
    <x:dataValidation type="list" sqref="L2:L35">
      <x:formula1>"Founder / Solo Developer"</x:formula1>
    </x:dataValidation>
    <x:dataValidation type="list" sqref="J2:J35">
      <x:formula1>"Sprint 0,Sprint 1,Sprint 2,Sprint 3,Sprint 4,Later"</x:formula1>
    </x:dataValidation>
    <x:dataValidation type="list" sqref="M2:M3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05fce445894d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32" hidden="0" customWidth="1"/>
    <x:col min="5" max="5" width="34" hidden="0" customWidth="1"/>
    <x:col min="6" max="6" width="20" hidden="0" customWidth="1"/>
    <x:col min="7" max="7" width="10" hidden="0" customWidth="1"/>
    <x:col min="8" max="8" width="14" hidden="0" customWidth="1"/>
    <x:col min="9" max="9" width="24" hidden="0" customWidth="1"/>
    <x:col min="10" max="10" width="12" hidden="0" customWidth="1"/>
    <x:col min="11" max="11" width="16" hidden="0" customWidth="1"/>
    <x:col min="12" max="12" width="28" hidden="0" customWidth="1"/>
    <x:col min="13" max="13" width="3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22" t="str">
        <x:v>Backlog ID</x:v>
      </x:c>
      <x:c r="B1" s="22" t="str">
        <x:v>Sprint</x:v>
      </x:c>
      <x:c r="C1" s="22" t="str">
        <x:v>WBS ID</x:v>
      </x:c>
      <x:c r="D1" s="22" t="str">
        <x:v>User Story / Task</x:v>
      </x:c>
      <x:c r="E1" s="22" t="str">
        <x:v>Why it matters</x:v>
      </x:c>
      <x:c r="F1" s="22" t="str">
        <x:v>Dependencies</x:v>
      </x:c>
      <x:c r="G1" s="22" t="str">
        <x:v>Priority</x:v>
      </x:c>
      <x:c r="H1" s="22" t="str">
        <x:v>Status</x:v>
      </x:c>
      <x:c r="I1" s="22" t="str">
        <x:v>Owner</x:v>
      </x:c>
      <x:c r="J1" s="38" t="str">
        <x:v>Est. Hours</x:v>
      </x:c>
      <x:c r="K1" s="22" t="str">
        <x:v>Acceptance Ref</x:v>
      </x:c>
      <x:c r="L1" s="22" t="str">
        <x:v>Demo Evidence</x:v>
      </x:c>
      <x:c r="M1" s="22" t="str">
        <x:v>Notes</x:v>
      </x:c>
      <x:c r="O1" s="22" t="str">
        <x:v>Sprint Capacity Check</x:v>
      </x:c>
      <x:c r="P1" s="38"/>
      <x:c r="Q1" s="38"/>
      <x:c r="R1" s="38"/>
    </x:row>
    <x:row r="2">
      <x:c r="A2" t="str">
        <x:v>BL-001</x:v>
      </x:c>
      <x:c r="B2" t="str">
        <x:v>Sprint 0</x:v>
      </x:c>
      <x:c r="C2" t="str">
        <x:v>0.1</x:v>
      </x:c>
      <x:c r="D2" t="str">
        <x:v>Confirm solo-builder scope</x:v>
      </x:c>
      <x:c r="E2" t="str">
        <x:v>Approved MVP-0 scope statement</x:v>
      </x:c>
      <x:c r="F2" t="str"/>
      <x:c r="G2" t="str">
        <x:v>P1</x:v>
      </x:c>
      <x:c r="H2" t="str">
        <x:v>Not Started</x:v>
      </x:c>
      <x:c r="I2" t="str">
        <x:v>Founder / Solo Developer</x:v>
      </x:c>
      <x:c r="J2" t="n">
        <x:v>2</x:v>
      </x:c>
      <x:c r="K2" t="str">
        <x:v>AC-001</x:v>
      </x:c>
      <x:c r="L2" t="str"/>
      <x:c r="M2" t="str">
        <x:v>Avoid expanding into full PMO.</x:v>
      </x:c>
      <x:c r="O2" s="22" t="str">
        <x:v>Sprint</x:v>
      </x:c>
      <x:c r="P2" s="22" t="str">
        <x:v>Planned Hours</x:v>
      </x:c>
      <x:c r="Q2" s="22" t="str">
        <x:v>Capacity</x:v>
      </x:c>
      <x:c r="R2" s="22" t="str">
        <x:v>Over/Under</x:v>
      </x:c>
    </x:row>
    <x:row r="3">
      <x:c r="A3" t="str">
        <x:v>BL-002</x:v>
      </x:c>
      <x:c r="B3" t="str">
        <x:v>Sprint 0</x:v>
      </x:c>
      <x:c r="C3" t="str">
        <x:v>0.2</x:v>
      </x:c>
      <x:c r="D3" t="str">
        <x:v>Create single source of truth folder</x:v>
      </x:c>
      <x:c r="E3" t="str">
        <x:v>Source of truth folder</x:v>
      </x:c>
      <x:c r="F3" t="str">
        <x:v>0.1</x:v>
      </x:c>
      <x:c r="G3" t="str">
        <x:v>P1</x:v>
      </x:c>
      <x:c r="H3" t="str">
        <x:v>Not Started</x:v>
      </x:c>
      <x:c r="I3" t="str">
        <x:v>Founder / Solo Developer</x:v>
      </x:c>
      <x:c r="J3" t="n">
        <x:v>2</x:v>
      </x:c>
      <x:c r="K3" t="str">
        <x:v>AC-002</x:v>
      </x:c>
      <x:c r="L3" t="str"/>
      <x:c r="M3" t="str">
        <x:v>Use one current set of docs.</x:v>
      </x:c>
      <x:c r="O3" t="str">
        <x:v>Sprint 0</x:v>
      </x:c>
      <x:c r="P3" t="n">
        <x:f>SUMIF(B:B,"Sprint 0",J:J)</x:f>
        <x:v>27</x:v>
      </x:c>
      <x:c r="Q3" t="n">
        <x:f>Solo_Capacity!$B$8</x:f>
        <x:v>28</x:v>
      </x:c>
      <x:c r="R3" t="n">
        <x:f>Q3-P3</x:f>
        <x:v>1</x:v>
      </x:c>
    </x:row>
    <x:row r="4">
      <x:c r="A4" t="str">
        <x:v>BL-003</x:v>
      </x:c>
      <x:c r="B4" t="str">
        <x:v>Sprint 0</x:v>
      </x:c>
      <x:c r="C4" t="str">
        <x:v>0.3</x:v>
      </x:c>
      <x:c r="D4" t="str">
        <x:v>Define Definition of Done</x:v>
      </x:c>
      <x:c r="E4" t="str">
        <x:v>Definition of Done doc</x:v>
      </x:c>
      <x:c r="F4" t="str">
        <x:v>0.1</x:v>
      </x:c>
      <x:c r="G4" t="str">
        <x:v>P1</x:v>
      </x:c>
      <x:c r="H4" t="str">
        <x:v>Not Started</x:v>
      </x:c>
      <x:c r="I4" t="str">
        <x:v>Founder / Solo Developer</x:v>
      </x:c>
      <x:c r="J4" t="n">
        <x:v>3</x:v>
      </x:c>
      <x:c r="K4" t="str">
        <x:v>AC-003</x:v>
      </x:c>
      <x:c r="L4" t="str"/>
      <x:c r="M4" t="str">
        <x:v>Keep practical for solo builder.</x:v>
      </x:c>
      <x:c r="O4" t="str">
        <x:v>Sprint 1</x:v>
      </x:c>
      <x:c r="P4" t="n">
        <x:f>SUMIF(B:B,"Sprint 1",J:J)</x:f>
        <x:v>24</x:v>
      </x:c>
      <x:c r="Q4" t="n">
        <x:f>Solo_Capacity!$B$8</x:f>
        <x:v>28</x:v>
      </x:c>
      <x:c r="R4" t="n">
        <x:f>Q4-P4</x:f>
        <x:v>4</x:v>
      </x:c>
    </x:row>
    <x:row r="5">
      <x:c r="A5" t="str">
        <x:v>BL-004</x:v>
      </x:c>
      <x:c r="B5" t="str">
        <x:v>Sprint 0</x:v>
      </x:c>
      <x:c r="C5" t="str">
        <x:v>0.4</x:v>
      </x:c>
      <x:c r="D5" t="str">
        <x:v>Create project repo</x:v>
      </x:c>
      <x:c r="E5" t="str">
        <x:v>GitHub repo</x:v>
      </x:c>
      <x:c r="F5" t="str">
        <x:v>0.1</x:v>
      </x:c>
      <x:c r="G5" t="str">
        <x:v>P1</x:v>
      </x:c>
      <x:c r="H5" t="str">
        <x:v>Not Started</x:v>
      </x:c>
      <x:c r="I5" t="str">
        <x:v>Founder / Solo Developer</x:v>
      </x:c>
      <x:c r="J5" t="n">
        <x:v>2</x:v>
      </x:c>
      <x:c r="K5" t="str">
        <x:v>AC-004</x:v>
      </x:c>
      <x:c r="L5" t="str"/>
      <x:c r="M5" t="str">
        <x:v>Main/develop or trunk-based simple.</x:v>
      </x:c>
      <x:c r="O5" t="str">
        <x:v>Sprint 2</x:v>
      </x:c>
      <x:c r="P5" t="n">
        <x:f>SUMIF(B:B,"Sprint 2",J:J)</x:f>
        <x:v>26</x:v>
      </x:c>
      <x:c r="Q5" t="n">
        <x:f>Solo_Capacity!$B$8</x:f>
        <x:v>28</x:v>
      </x:c>
      <x:c r="R5" t="n">
        <x:f>Q5-P5</x:f>
        <x:v>2</x:v>
      </x:c>
    </x:row>
    <x:row r="6">
      <x:c r="A6" t="str">
        <x:v>BL-005</x:v>
      </x:c>
      <x:c r="B6" t="str">
        <x:v>Sprint 0</x:v>
      </x:c>
      <x:c r="C6" t="str">
        <x:v>0.5</x:v>
      </x:c>
      <x:c r="D6" t="str">
        <x:v>Install Next.js + TypeScript app</x:v>
      </x:c>
      <x:c r="E6" t="str">
        <x:v>Running frontend scaffold</x:v>
      </x:c>
      <x:c r="F6" t="str">
        <x:v>0.4</x:v>
      </x:c>
      <x:c r="G6" t="str">
        <x:v>P1</x:v>
      </x:c>
      <x:c r="H6" t="str">
        <x:v>Not Started</x:v>
      </x:c>
      <x:c r="I6" t="str">
        <x:v>Founder / Solo Developer</x:v>
      </x:c>
      <x:c r="J6" t="n">
        <x:v>4</x:v>
      </x:c>
      <x:c r="K6" t="str">
        <x:v>AC-005</x:v>
      </x:c>
      <x:c r="L6" t="str"/>
      <x:c r="M6" t="str">
        <x:v>Use stable starter stack.</x:v>
      </x:c>
      <x:c r="O6" t="str">
        <x:v>Sprint 3</x:v>
      </x:c>
      <x:c r="P6" t="n">
        <x:f>SUMIF(B:B,"Sprint 3",J:J)</x:f>
        <x:v>22</x:v>
      </x:c>
      <x:c r="Q6" t="n">
        <x:f>Solo_Capacity!$B$8</x:f>
        <x:v>28</x:v>
      </x:c>
      <x:c r="R6" t="n">
        <x:f>Q6-P6</x:f>
        <x:v>6</x:v>
      </x:c>
    </x:row>
    <x:row r="7">
      <x:c r="A7" t="str">
        <x:v>BL-006</x:v>
      </x:c>
      <x:c r="B7" t="str">
        <x:v>Sprint 0</x:v>
      </x:c>
      <x:c r="C7" t="str">
        <x:v>0.6</x:v>
      </x:c>
      <x:c r="D7" t="str">
        <x:v>Install UI foundation</x:v>
      </x:c>
      <x:c r="E7" t="str">
        <x:v>UI foundation</x:v>
      </x:c>
      <x:c r="F7" t="str">
        <x:v>0.5</x:v>
      </x:c>
      <x:c r="G7" t="str">
        <x:v>P1</x:v>
      </x:c>
      <x:c r="H7" t="str">
        <x:v>Not Started</x:v>
      </x:c>
      <x:c r="I7" t="str">
        <x:v>Founder / Solo Developer</x:v>
      </x:c>
      <x:c r="J7" t="n">
        <x:v>5</x:v>
      </x:c>
      <x:c r="K7" t="str">
        <x:v>AC-006</x:v>
      </x:c>
      <x:c r="L7" t="str"/>
      <x:c r="M7" t="str">
        <x:v>Apply soft green branding.</x:v>
      </x:c>
      <x:c r="O7" t="str">
        <x:v>Sprint 4</x:v>
      </x:c>
      <x:c r="P7" t="n">
        <x:f>SUMIF(B:B,"Sprint 4",J:J)</x:f>
        <x:v>28</x:v>
      </x:c>
      <x:c r="Q7" t="n">
        <x:f>Solo_Capacity!$B$8</x:f>
        <x:v>28</x:v>
      </x:c>
      <x:c r="R7" t="n">
        <x:f>Q7-P7</x:f>
        <x:v>0</x:v>
      </x:c>
    </x:row>
    <x:row r="8">
      <x:c r="A8" t="str">
        <x:v>BL-007</x:v>
      </x:c>
      <x:c r="B8" t="str">
        <x:v>Sprint 0</x:v>
      </x:c>
      <x:c r="C8" t="str">
        <x:v>0.7</x:v>
      </x:c>
      <x:c r="D8" t="str">
        <x:v>Install next-intl</x:v>
      </x:c>
      <x:c r="E8" t="str">
        <x:v>i18n foundation</x:v>
      </x:c>
      <x:c r="F8" t="str">
        <x:v>0.5</x:v>
      </x:c>
      <x:c r="G8" t="str">
        <x:v>P1</x:v>
      </x:c>
      <x:c r="H8" t="str">
        <x:v>Not Started</x:v>
      </x:c>
      <x:c r="I8" t="str">
        <x:v>Founder / Solo Developer</x:v>
      </x:c>
      <x:c r="J8" t="n">
        <x:v>4</x:v>
      </x:c>
      <x:c r="K8" t="str">
        <x:v>AC-007</x:v>
      </x:c>
      <x:c r="L8" t="str"/>
      <x:c r="M8" t="str">
        <x:v>Foundation only, not full translation catalog.</x:v>
      </x:c>
      <x:c r="O8" t="str">
        <x:v>Sprint 5</x:v>
      </x:c>
      <x:c r="P8" t="n">
        <x:f>SUMIF(B:B,"Sprint 5",J:J)</x:f>
        <x:v>20</x:v>
      </x:c>
      <x:c r="Q8" t="n">
        <x:f>Solo_Capacity!$B$8</x:f>
        <x:v>28</x:v>
      </x:c>
      <x:c r="R8" t="n">
        <x:f>Q8-P8</x:f>
        <x:v>8</x:v>
      </x:c>
    </x:row>
    <x:row r="9">
      <x:c r="A9" t="str">
        <x:v>BL-008</x:v>
      </x:c>
      <x:c r="B9" t="str">
        <x:v>Sprint 0</x:v>
      </x:c>
      <x:c r="C9" t="str">
        <x:v>0.8</x:v>
      </x:c>
      <x:c r="D9" t="str">
        <x:v>Create language switcher</x:v>
      </x:c>
      <x:c r="E9" t="str">
        <x:v>Language switcher UI</x:v>
      </x:c>
      <x:c r="F9" t="str">
        <x:v>0.7</x:v>
      </x:c>
      <x:c r="G9" t="str">
        <x:v>P2</x:v>
      </x:c>
      <x:c r="H9" t="str">
        <x:v>Not Started</x:v>
      </x:c>
      <x:c r="I9" t="str">
        <x:v>Founder / Solo Developer</x:v>
      </x:c>
      <x:c r="J9" t="n">
        <x:v>3</x:v>
      </x:c>
      <x:c r="K9" t="str">
        <x:v>AC-008</x:v>
      </x:c>
      <x:c r="L9" t="str"/>
      <x:c r="M9" t="str">
        <x:v>Can be simple dropdown.</x:v>
      </x:c>
      <x:c r="O9" t="str">
        <x:v>Sprint 6</x:v>
      </x:c>
      <x:c r="P9" t="n">
        <x:f>SUMIF(B:B,"Sprint 6",J:J)</x:f>
        <x:v>26</x:v>
      </x:c>
      <x:c r="Q9" t="n">
        <x:f>Solo_Capacity!$B$8</x:f>
        <x:v>28</x:v>
      </x:c>
      <x:c r="R9" t="n">
        <x:f>Q9-P9</x:f>
        <x:v>2</x:v>
      </x:c>
    </x:row>
    <x:row r="10">
      <x:c r="A10" t="str">
        <x:v>BL-009</x:v>
      </x:c>
      <x:c r="B10" t="str">
        <x:v>Sprint 0</x:v>
      </x:c>
      <x:c r="C10" t="str">
        <x:v>0.9</x:v>
      </x:c>
      <x:c r="D10" t="str">
        <x:v>Create Supabase project</x:v>
      </x:c>
      <x:c r="E10" t="str">
        <x:v>Supabase project</x:v>
      </x:c>
      <x:c r="F10" t="str">
        <x:v>0.4</x:v>
      </x:c>
      <x:c r="G10" t="str">
        <x:v>P1</x:v>
      </x:c>
      <x:c r="H10" t="str">
        <x:v>Not Started</x:v>
      </x:c>
      <x:c r="I10" t="str">
        <x:v>Founder / Solo Developer</x:v>
      </x:c>
      <x:c r="J10" t="n">
        <x:v>2</x:v>
      </x:c>
      <x:c r="K10" t="str">
        <x:v>AC-009</x:v>
      </x:c>
      <x:c r="L10" t="str"/>
      <x:c r="M10" t="str">
        <x:v>Do not commit secrets.</x:v>
      </x:c>
      <x:c r="O10" t="str">
        <x:v>Sprint 7</x:v>
      </x:c>
      <x:c r="P10" t="n">
        <x:f>SUMIF(B:B,"Sprint 7",J:J)</x:f>
        <x:v>26</x:v>
      </x:c>
      <x:c r="Q10" t="n">
        <x:f>Solo_Capacity!$B$8</x:f>
        <x:v>28</x:v>
      </x:c>
      <x:c r="R10" t="n">
        <x:f>Q10-P10</x:f>
        <x:v>2</x:v>
      </x:c>
    </x:row>
    <x:row r="11">
      <x:c r="A11" t="str">
        <x:v>BL-010</x:v>
      </x:c>
      <x:c r="B11" t="str">
        <x:v>Sprint 1</x:v>
      </x:c>
      <x:c r="C11" t="str">
        <x:v>0.10</x:v>
      </x:c>
      <x:c r="D11" t="str">
        <x:v>Create baseline DB schema</x:v>
      </x:c>
      <x:c r="E11" t="str">
        <x:v>Migration scripts</x:v>
      </x:c>
      <x:c r="F11" t="str">
        <x:v>0.9</x:v>
      </x:c>
      <x:c r="G11" t="str">
        <x:v>P1</x:v>
      </x:c>
      <x:c r="H11" t="str">
        <x:v>Not Started</x:v>
      </x:c>
      <x:c r="I11" t="str">
        <x:v>Founder / Solo Developer</x:v>
      </x:c>
      <x:c r="J11" t="n">
        <x:v>10</x:v>
      </x:c>
      <x:c r="K11" t="str">
        <x:v>AC-010</x:v>
      </x:c>
      <x:c r="L11" t="str"/>
      <x:c r="M11" t="str">
        <x:v>Build only MVP-0 tables.</x:v>
      </x:c>
      <x:c r="O11" t="str">
        <x:v>Sprint 8</x:v>
      </x:c>
      <x:c r="P11" t="n">
        <x:f>SUMIF(B:B,"Sprint 8",J:J)</x:f>
        <x:v>22</x:v>
      </x:c>
      <x:c r="Q11" t="n">
        <x:f>Solo_Capacity!$B$8</x:f>
        <x:v>28</x:v>
      </x:c>
      <x:c r="R11" t="n">
        <x:f>Q11-P11</x:f>
        <x:v>6</x:v>
      </x:c>
    </x:row>
    <x:row r="12">
      <x:c r="A12" t="str">
        <x:v>BL-011</x:v>
      </x:c>
      <x:c r="B12" t="str">
        <x:v>Sprint 1</x:v>
      </x:c>
      <x:c r="C12" t="str">
        <x:v>0.11</x:v>
      </x:c>
      <x:c r="D12" t="str">
        <x:v>Configure Supabase Auth</x:v>
      </x:c>
      <x:c r="E12" t="str">
        <x:v>Working authentication</x:v>
      </x:c>
      <x:c r="F12" t="str">
        <x:v>0.9,0.5</x:v>
      </x:c>
      <x:c r="G12" t="str">
        <x:v>P1</x:v>
      </x:c>
      <x:c r="H12" t="str">
        <x:v>Not Started</x:v>
      </x:c>
      <x:c r="I12" t="str">
        <x:v>Founder / Solo Developer</x:v>
      </x:c>
      <x:c r="J12" t="n">
        <x:v>6</x:v>
      </x:c>
      <x:c r="K12" t="str">
        <x:v>AC-011</x:v>
      </x:c>
      <x:c r="L12" t="str"/>
      <x:c r="M12" t="str">
        <x:v>Magic link optional later.</x:v>
      </x:c>
    </x:row>
    <x:row r="13">
      <x:c r="A13" t="str">
        <x:v>BL-012</x:v>
      </x:c>
      <x:c r="B13" t="str">
        <x:v>Sprint 1</x:v>
      </x:c>
      <x:c r="C13" t="str">
        <x:v>0.12</x:v>
      </x:c>
      <x:c r="D13" t="str">
        <x:v>Implement organization membership model</x:v>
      </x:c>
      <x:c r="E13" t="str">
        <x:v>Org membership logic</x:v>
      </x:c>
      <x:c r="F13" t="str">
        <x:v>0.10,0.11</x:v>
      </x:c>
      <x:c r="G13" t="str">
        <x:v>P1</x:v>
      </x:c>
      <x:c r="H13" t="str">
        <x:v>Not Started</x:v>
      </x:c>
      <x:c r="I13" t="str">
        <x:v>Founder / Solo Developer</x:v>
      </x:c>
      <x:c r="J13" t="n">
        <x:v>8</x:v>
      </x:c>
      <x:c r="K13" t="str">
        <x:v>AC-012</x:v>
      </x:c>
      <x:c r="L13" t="str"/>
      <x:c r="M13" t="str">
        <x:v>Single org support acceptable initially.</x:v>
      </x:c>
    </x:row>
    <x:row r="14">
      <x:c r="A14" t="str">
        <x:v>BL-013</x:v>
      </x:c>
      <x:c r="B14" t="str">
        <x:v>Sprint 2</x:v>
      </x:c>
      <x:c r="C14" t="str">
        <x:v>0.13</x:v>
      </x:c>
      <x:c r="D14" t="str">
        <x:v>Create initial RLS policies</x:v>
      </x:c>
      <x:c r="E14" t="str">
        <x:v>RLS policies</x:v>
      </x:c>
      <x:c r="F14" t="str">
        <x:v>0.10,0.12</x:v>
      </x:c>
      <x:c r="G14" t="str">
        <x:v>P1</x:v>
      </x:c>
      <x:c r="H14" t="str">
        <x:v>Not Started</x:v>
      </x:c>
      <x:c r="I14" t="str">
        <x:v>Founder / Solo Developer</x:v>
      </x:c>
      <x:c r="J14" t="n">
        <x:v>10</x:v>
      </x:c>
      <x:c r="K14" t="str">
        <x:v>AC-013</x:v>
      </x:c>
      <x:c r="L14" t="str"/>
      <x:c r="M14" t="str">
        <x:v>RLS must block cross-org access.</x:v>
      </x:c>
    </x:row>
    <x:row r="15">
      <x:c r="A15" t="str">
        <x:v>BL-014</x:v>
      </x:c>
      <x:c r="B15" t="str">
        <x:v>Sprint 2</x:v>
      </x:c>
      <x:c r="C15" t="str">
        <x:v>0.14</x:v>
      </x:c>
      <x:c r="D15" t="str">
        <x:v>Create RLS smoke tests</x:v>
      </x:c>
      <x:c r="E15" t="str">
        <x:v>RLS test checklist</x:v>
      </x:c>
      <x:c r="F15" t="str">
        <x:v>0.13</x:v>
      </x:c>
      <x:c r="G15" t="str">
        <x:v>P1</x:v>
      </x:c>
      <x:c r="H15" t="str">
        <x:v>Not Started</x:v>
      </x:c>
      <x:c r="I15" t="str">
        <x:v>Founder / Solo Developer</x:v>
      </x:c>
      <x:c r="J15" t="n">
        <x:v>6</x:v>
      </x:c>
      <x:c r="K15" t="str">
        <x:v>AC-014</x:v>
      </x:c>
      <x:c r="L15" t="str"/>
      <x:c r="M15" t="str">
        <x:v>Do at least manual SQL tests if automated tests take too long.</x:v>
      </x:c>
    </x:row>
    <x:row r="16">
      <x:c r="A16" t="str">
        <x:v>BL-015</x:v>
      </x:c>
      <x:c r="B16" t="str">
        <x:v>Sprint 2</x:v>
      </x:c>
      <x:c r="C16" t="str">
        <x:v>0.15</x:v>
      </x:c>
      <x:c r="D16" t="str">
        <x:v>Create AI service abstraction</x:v>
      </x:c>
      <x:c r="E16" t="str">
        <x:v>AI service baseline</x:v>
      </x:c>
      <x:c r="F16" t="str">
        <x:v>0.10</x:v>
      </x:c>
      <x:c r="G16" t="str">
        <x:v>P1</x:v>
      </x:c>
      <x:c r="H16" t="str">
        <x:v>Not Started</x:v>
      </x:c>
      <x:c r="I16" t="str">
        <x:v>Founder / Solo Developer</x:v>
      </x:c>
      <x:c r="J16" t="n">
        <x:v>8</x:v>
      </x:c>
      <x:c r="K16" t="str">
        <x:v>AC-015</x:v>
      </x:c>
      <x:c r="L16" t="str"/>
      <x:c r="M16" t="str">
        <x:v>No direct model calls from UI.</x:v>
      </x:c>
    </x:row>
    <x:row r="17">
      <x:c r="A17" t="str">
        <x:v>BL-016</x:v>
      </x:c>
      <x:c r="B17" t="str">
        <x:v>Sprint 2</x:v>
      </x:c>
      <x:c r="C17" t="str">
        <x:v>0.16</x:v>
      </x:c>
      <x:c r="D17" t="str">
        <x:v>Configure AI environment variables</x:v>
      </x:c>
      <x:c r="E17" t="str">
        <x:v>AI env setup</x:v>
      </x:c>
      <x:c r="F17" t="str">
        <x:v>0.15</x:v>
      </x:c>
      <x:c r="G17" t="str">
        <x:v>P1</x:v>
      </x:c>
      <x:c r="H17" t="str">
        <x:v>Not Started</x:v>
      </x:c>
      <x:c r="I17" t="str">
        <x:v>Founder / Solo Developer</x:v>
      </x:c>
      <x:c r="J17" t="n">
        <x:v>2</x:v>
      </x:c>
      <x:c r="K17" t="str">
        <x:v>AC-016</x:v>
      </x:c>
      <x:c r="L17" t="str"/>
      <x:c r="M17" t="str">
        <x:v>Secrets server-side only.</x:v>
      </x:c>
    </x:row>
    <x:row r="18">
      <x:c r="A18" t="str">
        <x:v>BL-017</x:v>
      </x:c>
      <x:c r="B18" t="str">
        <x:v>Sprint 3</x:v>
      </x:c>
      <x:c r="C18" t="str">
        <x:v>0.17</x:v>
      </x:c>
      <x:c r="D18" t="str">
        <x:v>Create app shell navigation</x:v>
      </x:c>
      <x:c r="E18" t="str">
        <x:v>App shell</x:v>
      </x:c>
      <x:c r="F18" t="str">
        <x:v>0.6,0.11</x:v>
      </x:c>
      <x:c r="G18" t="str">
        <x:v>P1</x:v>
      </x:c>
      <x:c r="H18" t="str">
        <x:v>Not Started</x:v>
      </x:c>
      <x:c r="I18" t="str">
        <x:v>Founder / Solo Developer</x:v>
      </x:c>
      <x:c r="J18" t="n">
        <x:v>6</x:v>
      </x:c>
      <x:c r="K18" t="str">
        <x:v>AC-017</x:v>
      </x:c>
      <x:c r="L18" t="str"/>
      <x:c r="M18" t="str">
        <x:v>Minimal but clean.</x:v>
      </x:c>
    </x:row>
    <x:row r="19">
      <x:c r="A19" t="str">
        <x:v>BL-018</x:v>
      </x:c>
      <x:c r="B19" t="str">
        <x:v>Sprint 3</x:v>
      </x:c>
      <x:c r="C19" t="str">
        <x:v>0.18</x:v>
      </x:c>
      <x:c r="D19" t="str">
        <x:v>Create project shell</x:v>
      </x:c>
      <x:c r="E19" t="str">
        <x:v>Project shell UI</x:v>
      </x:c>
      <x:c r="F19" t="str">
        <x:v>0.10,0.17</x:v>
      </x:c>
      <x:c r="G19" t="str">
        <x:v>P1</x:v>
      </x:c>
      <x:c r="H19" t="str">
        <x:v>Not Started</x:v>
      </x:c>
      <x:c r="I19" t="str">
        <x:v>Founder / Solo Developer</x:v>
      </x:c>
      <x:c r="J19" t="n">
        <x:v>8</x:v>
      </x:c>
      <x:c r="K19" t="str">
        <x:v>AC-018</x:v>
      </x:c>
      <x:c r="L19" t="str"/>
      <x:c r="M19" t="str">
        <x:v>First project can be manually created.</x:v>
      </x:c>
    </x:row>
    <x:row r="20">
      <x:c r="A20" t="str">
        <x:v>BL-019</x:v>
      </x:c>
      <x:c r="B20" t="str">
        <x:v>Sprint 3</x:v>
      </x:c>
      <x:c r="C20" t="str">
        <x:v>1.1</x:v>
      </x:c>
      <x:c r="D20" t="str">
        <x:v>Create stakeholder register basic</x:v>
      </x:c>
      <x:c r="E20" t="str">
        <x:v>Stakeholder register</x:v>
      </x:c>
      <x:c r="F20" t="str">
        <x:v>0.18</x:v>
      </x:c>
      <x:c r="G20" t="str">
        <x:v>P1</x:v>
      </x:c>
      <x:c r="H20" t="str">
        <x:v>Not Started</x:v>
      </x:c>
      <x:c r="I20" t="str">
        <x:v>Founder / Solo Developer</x:v>
      </x:c>
      <x:c r="J20" t="n">
        <x:v>8</x:v>
      </x:c>
      <x:c r="K20" t="str">
        <x:v>AC-019</x:v>
      </x:c>
      <x:c r="L20" t="str"/>
      <x:c r="M20" t="str">
        <x:v>No complex matrix yet.</x:v>
      </x:c>
    </x:row>
    <x:row r="21">
      <x:c r="A21" t="str">
        <x:v>BL-020</x:v>
      </x:c>
      <x:c r="B21" t="str">
        <x:v>Sprint 4</x:v>
      </x:c>
      <x:c r="C21" t="str">
        <x:v>1.2</x:v>
      </x:c>
      <x:c r="D21" t="str">
        <x:v>Create communication log manual</x:v>
      </x:c>
      <x:c r="E21" t="str">
        <x:v>Communication log</x:v>
      </x:c>
      <x:c r="F21" t="str">
        <x:v>0.18,1.1</x:v>
      </x:c>
      <x:c r="G21" t="str">
        <x:v>P1</x:v>
      </x:c>
      <x:c r="H21" t="str">
        <x:v>Not Started</x:v>
      </x:c>
      <x:c r="I21" t="str">
        <x:v>Founder / Solo Developer</x:v>
      </x:c>
      <x:c r="J21" t="n">
        <x:v>10</x:v>
      </x:c>
      <x:c r="K21" t="str">
        <x:v>AC-020</x:v>
      </x:c>
      <x:c r="L21" t="str"/>
      <x:c r="M21" t="str">
        <x:v>Manual entry only; no Gmail/Teams yet.</x:v>
      </x:c>
    </x:row>
    <x:row r="22">
      <x:c r="A22" t="str">
        <x:v>BL-021</x:v>
      </x:c>
      <x:c r="B22" t="str">
        <x:v>Sprint 4</x:v>
      </x:c>
      <x:c r="C22" t="str">
        <x:v>1.3</x:v>
      </x:c>
      <x:c r="D22" t="str">
        <x:v>Create meeting notes screen</x:v>
      </x:c>
      <x:c r="E22" t="str">
        <x:v>Meeting notes UI</x:v>
      </x:c>
      <x:c r="F22" t="str">
        <x:v>0.18,1.1</x:v>
      </x:c>
      <x:c r="G22" t="str">
        <x:v>P1</x:v>
      </x:c>
      <x:c r="H22" t="str">
        <x:v>Not Started</x:v>
      </x:c>
      <x:c r="I22" t="str">
        <x:v>Founder / Solo Developer</x:v>
      </x:c>
      <x:c r="J22" t="n">
        <x:v>8</x:v>
      </x:c>
      <x:c r="K22" t="str">
        <x:v>AC-021</x:v>
      </x:c>
      <x:c r="L22" t="str"/>
      <x:c r="M22" t="str">
        <x:v>Simple rich text optional.</x:v>
      </x:c>
    </x:row>
    <x:row r="23">
      <x:c r="A23" t="str">
        <x:v>BL-022</x:v>
      </x:c>
      <x:c r="B23" t="str">
        <x:v>Sprint 4</x:v>
      </x:c>
      <x:c r="C23" t="str">
        <x:v>1.4</x:v>
      </x:c>
      <x:c r="D23" t="str">
        <x:v>Create decision log</x:v>
      </x:c>
      <x:c r="E23" t="str">
        <x:v>Decision log</x:v>
      </x:c>
      <x:c r="F23" t="str">
        <x:v>1.2,1.3</x:v>
      </x:c>
      <x:c r="G23" t="str">
        <x:v>P1</x:v>
      </x:c>
      <x:c r="H23" t="str">
        <x:v>Not Started</x:v>
      </x:c>
      <x:c r="I23" t="str">
        <x:v>Founder / Solo Developer</x:v>
      </x:c>
      <x:c r="J23" t="n">
        <x:v>10</x:v>
      </x:c>
      <x:c r="K23" t="str">
        <x:v>AC-022</x:v>
      </x:c>
      <x:c r="L23" t="str"/>
      <x:c r="M23" t="str">
        <x:v>Decision must link to project.</x:v>
      </x:c>
    </x:row>
    <x:row r="24">
      <x:c r="A24" t="str">
        <x:v>BL-023</x:v>
      </x:c>
      <x:c r="B24" t="str">
        <x:v>Sprint 5</x:v>
      </x:c>
      <x:c r="C24" t="str">
        <x:v>1.5</x:v>
      </x:c>
      <x:c r="D24" t="str">
        <x:v>Create document/evidence repository basic</x:v>
      </x:c>
      <x:c r="E24" t="str">
        <x:v>Evidence repository</x:v>
      </x:c>
      <x:c r="F24" t="str">
        <x:v>0.10,0.18</x:v>
      </x:c>
      <x:c r="G24" t="str">
        <x:v>P1</x:v>
      </x:c>
      <x:c r="H24" t="str">
        <x:v>Not Started</x:v>
      </x:c>
      <x:c r="I24" t="str">
        <x:v>Founder / Solo Developer</x:v>
      </x:c>
      <x:c r="J24" t="n">
        <x:v>8</x:v>
      </x:c>
      <x:c r="K24" t="str">
        <x:v>AC-023</x:v>
      </x:c>
      <x:c r="L24" t="str"/>
      <x:c r="M24" t="str">
        <x:v>Supabase Storage or external URL.</x:v>
      </x:c>
    </x:row>
    <x:row r="25">
      <x:c r="A25" t="str">
        <x:v>BL-024</x:v>
      </x:c>
      <x:c r="B25" t="str">
        <x:v>Sprint 5</x:v>
      </x:c>
      <x:c r="C25" t="str">
        <x:v>1.6</x:v>
      </x:c>
      <x:c r="D25" t="str">
        <x:v>Create traceability links table UI</x:v>
      </x:c>
      <x:c r="E25" t="str">
        <x:v>Traceability links UI</x:v>
      </x:c>
      <x:c r="F25" t="str">
        <x:v>1.2,1.3,1.4,1.5</x:v>
      </x:c>
      <x:c r="G25" t="str">
        <x:v>P1</x:v>
      </x:c>
      <x:c r="H25" t="str">
        <x:v>Not Started</x:v>
      </x:c>
      <x:c r="I25" t="str">
        <x:v>Founder / Solo Developer</x:v>
      </x:c>
      <x:c r="J25" t="n">
        <x:v>12</x:v>
      </x:c>
      <x:c r="K25" t="str">
        <x:v>AC-024</x:v>
      </x:c>
      <x:c r="L25" t="str"/>
      <x:c r="M25" t="str">
        <x:v>At least decision-to-evidence and communication-to-decision.</x:v>
      </x:c>
    </x:row>
    <x:row r="26">
      <x:c r="A26" t="str">
        <x:v>BL-025</x:v>
      </x:c>
      <x:c r="B26" t="str">
        <x:v>Sprint 6</x:v>
      </x:c>
      <x:c r="C26" t="str">
        <x:v>1.7</x:v>
      </x:c>
      <x:c r="D26" t="str">
        <x:v>AI extract decisions from meeting notes</x:v>
      </x:c>
      <x:c r="E26" t="str">
        <x:v>AI decision extraction</x:v>
      </x:c>
      <x:c r="F26" t="str">
        <x:v>0.15,1.3,1.4</x:v>
      </x:c>
      <x:c r="G26" t="str">
        <x:v>P1</x:v>
      </x:c>
      <x:c r="H26" t="str">
        <x:v>Not Started</x:v>
      </x:c>
      <x:c r="I26" t="str">
        <x:v>Founder / Solo Developer</x:v>
      </x:c>
      <x:c r="J26" t="n">
        <x:v>10</x:v>
      </x:c>
      <x:c r="K26" t="str">
        <x:v>AC-025</x:v>
      </x:c>
      <x:c r="L26" t="str"/>
      <x:c r="M26" t="str">
        <x:v>Human confirmation required.</x:v>
      </x:c>
    </x:row>
    <x:row r="27">
      <x:c r="A27" t="str">
        <x:v>BL-026</x:v>
      </x:c>
      <x:c r="B27" t="str">
        <x:v>Sprint 6</x:v>
      </x:c>
      <x:c r="C27" t="str">
        <x:v>1.8</x:v>
      </x:c>
      <x:c r="D27" t="str">
        <x:v>AI extract action items</x:v>
      </x:c>
      <x:c r="E27" t="str">
        <x:v>AI action item extraction</x:v>
      </x:c>
      <x:c r="F27" t="str">
        <x:v>0.15,1.2,1.3</x:v>
      </x:c>
      <x:c r="G27" t="str">
        <x:v>P1</x:v>
      </x:c>
      <x:c r="H27" t="str">
        <x:v>Not Started</x:v>
      </x:c>
      <x:c r="I27" t="str">
        <x:v>Founder / Solo Developer</x:v>
      </x:c>
      <x:c r="J27" t="n">
        <x:v>8</x:v>
      </x:c>
      <x:c r="K27" t="str">
        <x:v>AC-026</x:v>
      </x:c>
      <x:c r="L27" t="str"/>
      <x:c r="M27" t="str">
        <x:v>Can save to action_items or notes if tasks not built.</x:v>
      </x:c>
    </x:row>
    <x:row r="28">
      <x:c r="A28" t="str">
        <x:v>BL-027</x:v>
      </x:c>
      <x:c r="B28" t="str">
        <x:v>Sprint 6</x:v>
      </x:c>
      <x:c r="C28" t="str">
        <x:v>1.9</x:v>
      </x:c>
      <x:c r="D28" t="str">
        <x:v>AI summarize communication history</x:v>
      </x:c>
      <x:c r="E28" t="str">
        <x:v>AI summary</x:v>
      </x:c>
      <x:c r="F28" t="str">
        <x:v>1.2,1.4,0.15</x:v>
      </x:c>
      <x:c r="G28" t="str">
        <x:v>P2</x:v>
      </x:c>
      <x:c r="H28" t="str">
        <x:v>Not Started</x:v>
      </x:c>
      <x:c r="I28" t="str">
        <x:v>Founder / Solo Developer</x:v>
      </x:c>
      <x:c r="J28" t="n">
        <x:v>8</x:v>
      </x:c>
      <x:c r="K28" t="str">
        <x:v>AC-027</x:v>
      </x:c>
      <x:c r="L28" t="str"/>
      <x:c r="M28" t="str">
        <x:v>Must cite linked records in app UI.</x:v>
      </x:c>
    </x:row>
    <x:row r="29">
      <x:c r="A29" t="str">
        <x:v>BL-028</x:v>
      </x:c>
      <x:c r="B29" t="str">
        <x:v>Sprint 7</x:v>
      </x:c>
      <x:c r="C29" t="str">
        <x:v>1.10</x:v>
      </x:c>
      <x:c r="D29" t="str">
        <x:v>Create basic search</x:v>
      </x:c>
      <x:c r="E29" t="str">
        <x:v>Basic search</x:v>
      </x:c>
      <x:c r="F29" t="str">
        <x:v>1.2,1.3,1.4,1.5</x:v>
      </x:c>
      <x:c r="G29" t="str">
        <x:v>P1</x:v>
      </x:c>
      <x:c r="H29" t="str">
        <x:v>Not Started</x:v>
      </x:c>
      <x:c r="I29" t="str">
        <x:v>Founder / Solo Developer</x:v>
      </x:c>
      <x:c r="J29" t="n">
        <x:v>8</x:v>
      </x:c>
      <x:c r="K29" t="str">
        <x:v>AC-028</x:v>
      </x:c>
      <x:c r="L29" t="str"/>
      <x:c r="M29" t="str">
        <x:v>Semantic search can come later.</x:v>
      </x:c>
    </x:row>
    <x:row r="30">
      <x:c r="A30" t="str">
        <x:v>BL-029</x:v>
      </x:c>
      <x:c r="B30" t="str">
        <x:v>Sprint 7</x:v>
      </x:c>
      <x:c r="C30" t="str">
        <x:v>1.11</x:v>
      </x:c>
      <x:c r="D30" t="str">
        <x:v>Create MVP-0 project memory dashboard</x:v>
      </x:c>
      <x:c r="E30" t="str">
        <x:v>Project memory dashboard</x:v>
      </x:c>
      <x:c r="F30" t="str">
        <x:v>1.2,1.4,1.5,1.6</x:v>
      </x:c>
      <x:c r="G30" t="str">
        <x:v>P1</x:v>
      </x:c>
      <x:c r="H30" t="str">
        <x:v>Not Started</x:v>
      </x:c>
      <x:c r="I30" t="str">
        <x:v>Founder / Solo Developer</x:v>
      </x:c>
      <x:c r="J30" t="n">
        <x:v>10</x:v>
      </x:c>
      <x:c r="K30" t="str">
        <x:v>AC-029</x:v>
      </x:c>
      <x:c r="L30" t="str"/>
      <x:c r="M30" t="str">
        <x:v>Dashboard answers: what happened, what was decided, where is evidence.</x:v>
      </x:c>
    </x:row>
    <x:row r="31">
      <x:c r="A31" t="str">
        <x:v>BL-030</x:v>
      </x:c>
      <x:c r="B31" t="str">
        <x:v>Sprint 7</x:v>
      </x:c>
      <x:c r="C31" t="str">
        <x:v>1.12</x:v>
      </x:c>
      <x:c r="D31" t="str">
        <x:v>Add audit log for critical records</x:v>
      </x:c>
      <x:c r="E31" t="str">
        <x:v>Audit logging</x:v>
      </x:c>
      <x:c r="F31" t="str">
        <x:v>0.10,1.4,1.5,1.6</x:v>
      </x:c>
      <x:c r="G31" t="str">
        <x:v>P2</x:v>
      </x:c>
      <x:c r="H31" t="str">
        <x:v>Not Started</x:v>
      </x:c>
      <x:c r="I31" t="str">
        <x:v>Founder / Solo Developer</x:v>
      </x:c>
      <x:c r="J31" t="n">
        <x:v>8</x:v>
      </x:c>
      <x:c r="K31" t="str">
        <x:v>AC-030</x:v>
      </x:c>
      <x:c r="L31" t="str"/>
      <x:c r="M31" t="str">
        <x:v>Critical for trust.</x:v>
      </x:c>
    </x:row>
    <x:row r="32">
      <x:c r="A32" t="str">
        <x:v>BL-031</x:v>
      </x:c>
      <x:c r="B32" t="str">
        <x:v>Sprint 8</x:v>
      </x:c>
      <x:c r="C32" t="str">
        <x:v>1.13</x:v>
      </x:c>
      <x:c r="D32" t="str">
        <x:v>Manual end-to-end scenario test</x:v>
      </x:c>
      <x:c r="E32" t="str">
        <x:v>E2E test evidence</x:v>
      </x:c>
      <x:c r="F32" t="str">
        <x:v>1.6,1.7,1.10,1.11</x:v>
      </x:c>
      <x:c r="G32" t="str">
        <x:v>P1</x:v>
      </x:c>
      <x:c r="H32" t="str">
        <x:v>Not Started</x:v>
      </x:c>
      <x:c r="I32" t="str">
        <x:v>Founder / Solo Developer</x:v>
      </x:c>
      <x:c r="J32" t="n">
        <x:v>6</x:v>
      </x:c>
      <x:c r="K32" t="str">
        <x:v>AC-031</x:v>
      </x:c>
      <x:c r="L32" t="str"/>
      <x:c r="M32" t="str">
        <x:v>Record screenshots or notes.</x:v>
      </x:c>
    </x:row>
    <x:row r="33">
      <x:c r="A33" t="str">
        <x:v>BL-032</x:v>
      </x:c>
      <x:c r="B33" t="str">
        <x:v>Sprint 8</x:v>
      </x:c>
      <x:c r="C33" t="str">
        <x:v>1.14</x:v>
      </x:c>
      <x:c r="D33" t="str">
        <x:v>Performance and AI cost smoke check</x:v>
      </x:c>
      <x:c r="E33" t="str">
        <x:v>Performance/cost notes</x:v>
      </x:c>
      <x:c r="F33" t="str">
        <x:v>1.7,1.8,1.9,1.11</x:v>
      </x:c>
      <x:c r="G33" t="str">
        <x:v>P2</x:v>
      </x:c>
      <x:c r="H33" t="str">
        <x:v>Not Started</x:v>
      </x:c>
      <x:c r="I33" t="str">
        <x:v>Founder / Solo Developer</x:v>
      </x:c>
      <x:c r="J33" t="n">
        <x:v>4</x:v>
      </x:c>
      <x:c r="K33" t="str">
        <x:v>AC-032</x:v>
      </x:c>
      <x:c r="L33" t="str"/>
      <x:c r="M33" t="str">
        <x:v>Simple spreadsheet or notes.</x:v>
      </x:c>
    </x:row>
    <x:row r="34">
      <x:c r="A34" t="str">
        <x:v>BL-033</x:v>
      </x:c>
      <x:c r="B34" t="str">
        <x:v>Sprint 8</x:v>
      </x:c>
      <x:c r="C34" t="str">
        <x:v>1.15</x:v>
      </x:c>
      <x:c r="D34" t="str">
        <x:v>Prepare demo script</x:v>
      </x:c>
      <x:c r="E34" t="str">
        <x:v>Demo script</x:v>
      </x:c>
      <x:c r="F34" t="str">
        <x:v>1.11,1.13</x:v>
      </x:c>
      <x:c r="G34" t="str">
        <x:v>P1</x:v>
      </x:c>
      <x:c r="H34" t="str">
        <x:v>Not Started</x:v>
      </x:c>
      <x:c r="I34" t="str">
        <x:v>Founder / Solo Developer</x:v>
      </x:c>
      <x:c r="J34" t="n">
        <x:v>4</x:v>
      </x:c>
      <x:c r="K34" t="str">
        <x:v>AC-033</x:v>
      </x:c>
      <x:c r="L34" t="str"/>
      <x:c r="M34" t="str">
        <x:v>Demo for validation interviews/design partners.</x:v>
      </x:c>
    </x:row>
    <x:row r="35">
      <x:c r="A35" t="str">
        <x:v>BL-034</x:v>
      </x:c>
      <x:c r="B35" t="str">
        <x:v>Sprint 8</x:v>
      </x:c>
      <x:c r="C35" t="str">
        <x:v>1.16</x:v>
      </x:c>
      <x:c r="D35" t="str">
        <x:v>Deploy MVP-0 preview</x:v>
      </x:c>
      <x:c r="E35" t="str">
        <x:v>Preview deployment</x:v>
      </x:c>
      <x:c r="F35" t="str">
        <x:v>0.17,1.13</x:v>
      </x:c>
      <x:c r="G35" t="str">
        <x:v>P1</x:v>
      </x:c>
      <x:c r="H35" t="str">
        <x:v>Not Started</x:v>
      </x:c>
      <x:c r="I35" t="str">
        <x:v>Founder / Solo Developer</x:v>
      </x:c>
      <x:c r="J35" t="n">
        <x:v>8</x:v>
      </x:c>
      <x:c r="K35" t="str">
        <x:v>AC-034</x:v>
      </x:c>
      <x:c r="L35" t="str"/>
      <x:c r="M35" t="str">
        <x:v>Shareable preview link.</x:v>
      </x:c>
    </x:row>
  </x:sheetData>
  <x:mergeCells>
    <x:mergeCell ref="O1:R1"/>
  </x:mergeCells>
  <x:conditionalFormatting sqref="H2:H35">
    <x:cfRule type="expression" dxfId="3" priority="1">
      <x:formula>$H2="Done"</x:formula>
    </x:cfRule>
    <x:cfRule type="expression" dxfId="4" priority="2">
      <x:formula>$H2="Blocked"</x:formula>
    </x:cfRule>
  </x:conditionalFormatting>
  <x:conditionalFormatting sqref="R3:R7">
    <x:cfRule type="expression" dxfId="7" priority="3">
      <x:formula>R3&lt;0</x:formula>
    </x:cfRule>
    <x:cfRule type="expression" dxfId="8" priority="4">
      <x:formula>R3&gt;=0</x:formula>
    </x:cfRule>
  </x:conditionalFormatting>
  <x:conditionalFormatting sqref="R3:R11">
    <x:cfRule type="expression" dxfId="9" priority="5">
      <x:formula>R3&lt;0</x:formula>
    </x:cfRule>
    <x:cfRule type="expression" dxfId="10" priority="6">
      <x:formula>R3&gt;=0</x:formula>
    </x:cfRule>
  </x:conditionalFormatting>
  <x:dataValidations count="2">
    <x:dataValidation type="list" sqref="H2:H35">
      <x:formula1>"Not Started,In Progress,Blocked,Done,Deferred"</x:formula1>
    </x:dataValidation>
    <x:dataValidation type="list" sqref="B2:B35">
      <x:formula1>"Sprint 0,Sprint 1,Sprint 2,Sprint 3,Sprint 4,Sprint 5,Sprint 6,Sprint 7,Sprint 8,Later"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39cdd82564e4d27"/>
    <x:tablePart xmlns:r="http://schemas.openxmlformats.org/officeDocument/2006/relationships" r:id="Rf6afccdbd28f4b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65" hidden="0" customWidth="1"/>
    <x:col min="4" max="4" width="22" hidden="0" customWidth="1"/>
    <x:col min="5" max="5" width="10" hidden="0" customWidth="1"/>
    <x:col min="6" max="6" width="35" hidden="0" customWidth="1"/>
  </x:cols>
  <x:sheetData>
    <x:row r="1" ht="28" customHeight="1">
      <x:c r="A1" s="22" t="str">
        <x:v>Acceptance Ref</x:v>
      </x:c>
      <x:c r="B1" s="22" t="str">
        <x:v>WBS ID</x:v>
      </x:c>
      <x:c r="C1" s="22" t="str">
        <x:v>Acceptance Criteria</x:v>
      </x:c>
      <x:c r="D1" s="22" t="str">
        <x:v>Validation Method</x:v>
      </x:c>
      <x:c r="E1" s="22" t="str">
        <x:v>Done?</x:v>
      </x:c>
      <x:c r="F1" s="22" t="str">
        <x:v>Notes</x:v>
      </x:c>
    </x:row>
    <x:row r="2">
      <x:c r="A2" t="str">
        <x:v>AC-001</x:v>
      </x:c>
      <x:c r="B2" t="str">
        <x:v>0.1</x:v>
      </x:c>
      <x:c r="C2" t="str">
        <x:v>MVP-0 scope is explicitly limited to Project Memory &amp; Decision Traceability; excluded modules are listed.</x:v>
      </x:c>
      <x:c r="D2" t="str">
        <x:v>Document review</x:v>
      </x:c>
      <x:c r="E2" t="str">
        <x:v>No</x:v>
      </x:c>
      <x:c r="F2" t="str"/>
    </x:row>
    <x:row r="3">
      <x:c r="A3" t="str">
        <x:v>AC-002</x:v>
      </x:c>
      <x:c r="B3" t="str">
        <x:v>0.2</x:v>
      </x:c>
      <x:c r="C3" t="str">
        <x:v>There is one official source-of-truth folder and duplicate docs are archived or marked deprecated.</x:v>
      </x:c>
      <x:c r="D3" t="str">
        <x:v>Manual inspection</x:v>
      </x:c>
      <x:c r="E3" t="str">
        <x:v>No</x:v>
      </x:c>
      <x:c r="F3" t="str"/>
    </x:row>
    <x:row r="4">
      <x:c r="A4" t="str">
        <x:v>AC-003</x:v>
      </x:c>
      <x:c r="B4" t="str">
        <x:v>0.3</x:v>
      </x:c>
      <x:c r="C4" t="str">
        <x:v>Definition of Done covers functionality, RLS/security, i18n foundation, manual QA, and demo readiness.</x:v>
      </x:c>
      <x:c r="D4" t="str">
        <x:v>Document review</x:v>
      </x:c>
      <x:c r="E4" t="str">
        <x:v>No</x:v>
      </x:c>
      <x:c r="F4" t="str"/>
    </x:row>
    <x:row r="5">
      <x:c r="A5" t="str">
        <x:v>AC-004</x:v>
      </x:c>
      <x:c r="B5" t="str">
        <x:v>0.4</x:v>
      </x:c>
      <x:c r="C5" t="str">
        <x:v>Repository exists with README, environment setup notes, and initial branch workflow.</x:v>
      </x:c>
      <x:c r="D5" t="str">
        <x:v>Repo inspection</x:v>
      </x:c>
      <x:c r="E5" t="str">
        <x:v>No</x:v>
      </x:c>
      <x:c r="F5" t="str"/>
    </x:row>
    <x:row r="6">
      <x:c r="A6" t="str">
        <x:v>AC-005</x:v>
      </x:c>
      <x:c r="B6" t="str">
        <x:v>0.5</x:v>
      </x:c>
      <x:c r="C6" t="str">
        <x:v>Next.js app runs locally without errors and displays a starter route.</x:v>
      </x:c>
      <x:c r="D6" t="str">
        <x:v>Local run</x:v>
      </x:c>
      <x:c r="E6" t="str">
        <x:v>No</x:v>
      </x:c>
      <x:c r="F6" t="str"/>
    </x:row>
    <x:row r="7">
      <x:c r="A7" t="str">
        <x:v>AC-006</x:v>
      </x:c>
      <x:c r="B7" t="str">
        <x:v>0.6</x:v>
      </x:c>
      <x:c r="C7" t="str">
        <x:v>Base UI layout uses ProjectOps360° branding and soft green theme consistently.</x:v>
      </x:c>
      <x:c r="D7" t="str">
        <x:v>Visual review</x:v>
      </x:c>
      <x:c r="E7" t="str">
        <x:v>No</x:v>
      </x:c>
      <x:c r="F7" t="str"/>
    </x:row>
    <x:row r="8">
      <x:c r="A8" t="str">
        <x:v>AC-007</x:v>
      </x:c>
      <x:c r="B8" t="str">
        <x:v>0.7</x:v>
      </x:c>
      <x:c r="C8" t="str">
        <x:v>next-intl is installed with EN/ES message files and at least one translated page.</x:v>
      </x:c>
      <x:c r="D8" t="str">
        <x:v>Local run</x:v>
      </x:c>
      <x:c r="E8" t="str">
        <x:v>No</x:v>
      </x:c>
      <x:c r="F8" t="str"/>
    </x:row>
    <x:row r="9">
      <x:c r="A9" t="str">
        <x:v>AC-008</x:v>
      </x:c>
      <x:c r="B9" t="str">
        <x:v>0.8</x:v>
      </x:c>
      <x:c r="C9" t="str">
        <x:v>User can switch language and UI text changes for available translations.</x:v>
      </x:c>
      <x:c r="D9" t="str">
        <x:v>Manual test</x:v>
      </x:c>
      <x:c r="E9" t="str">
        <x:v>No</x:v>
      </x:c>
      <x:c r="F9" t="str"/>
    </x:row>
    <x:row r="10">
      <x:c r="A10" t="str">
        <x:v>AC-009</x:v>
      </x:c>
      <x:c r="B10" t="str">
        <x:v>0.9</x:v>
      </x:c>
      <x:c r="C10" t="str">
        <x:v>Supabase project exists and app can connect with environment variables stored safely.</x:v>
      </x:c>
      <x:c r="D10" t="str">
        <x:v>Connection test</x:v>
      </x:c>
      <x:c r="E10" t="str">
        <x:v>No</x:v>
      </x:c>
      <x:c r="F10" t="str"/>
    </x:row>
    <x:row r="11">
      <x:c r="A11" t="str">
        <x:v>AC-010</x:v>
      </x:c>
      <x:c r="B11" t="str">
        <x:v>0.10</x:v>
      </x:c>
      <x:c r="C11" t="str">
        <x:v>Minimal MVP-0 tables exist through migrations and include organization_id where needed.</x:v>
      </x:c>
      <x:c r="D11" t="str">
        <x:v>DB inspection</x:v>
      </x:c>
      <x:c r="E11" t="str">
        <x:v>No</x:v>
      </x:c>
      <x:c r="F11" t="str"/>
    </x:row>
    <x:row r="12">
      <x:c r="A12" t="str">
        <x:v>AC-011</x:v>
      </x:c>
      <x:c r="B12" t="str">
        <x:v>0.11</x:v>
      </x:c>
      <x:c r="C12" t="str">
        <x:v>Unauthenticated users cannot access protected app pages; authenticated user can sign in/out.</x:v>
      </x:c>
      <x:c r="D12" t="str">
        <x:v>Manual auth test</x:v>
      </x:c>
      <x:c r="E12" t="str">
        <x:v>No</x:v>
      </x:c>
      <x:c r="F12" t="str"/>
    </x:row>
    <x:row r="13">
      <x:c r="A13" t="str">
        <x:v>AC-012</x:v>
      </x:c>
      <x:c r="B13" t="str">
        <x:v>0.12</x:v>
      </x:c>
      <x:c r="C13" t="str">
        <x:v>User belongs to an organization and queries are scoped to that org.</x:v>
      </x:c>
      <x:c r="D13" t="str">
        <x:v>Manual/SQL test</x:v>
      </x:c>
      <x:c r="E13" t="str">
        <x:v>No</x:v>
      </x:c>
      <x:c r="F13" t="str"/>
    </x:row>
    <x:row r="14">
      <x:c r="A14" t="str">
        <x:v>AC-013</x:v>
      </x:c>
      <x:c r="B14" t="str">
        <x:v>0.13</x:v>
      </x:c>
      <x:c r="C14" t="str">
        <x:v>RLS prevents a test user from reading another organization’s project data.</x:v>
      </x:c>
      <x:c r="D14" t="str">
        <x:v>RLS test</x:v>
      </x:c>
      <x:c r="E14" t="str">
        <x:v>No</x:v>
      </x:c>
      <x:c r="F14" t="str"/>
    </x:row>
    <x:row r="15">
      <x:c r="A15" t="str">
        <x:v>AC-014</x:v>
      </x:c>
      <x:c r="B15" t="str">
        <x:v>0.14</x:v>
      </x:c>
      <x:c r="C15" t="str">
        <x:v>RLS smoke test checklist or automated tests are recorded and repeatable.</x:v>
      </x:c>
      <x:c r="D15" t="str">
        <x:v>Test artifact</x:v>
      </x:c>
      <x:c r="E15" t="str">
        <x:v>No</x:v>
      </x:c>
      <x:c r="F15" t="str"/>
    </x:row>
    <x:row r="16">
      <x:c r="A16" t="str">
        <x:v>AC-015</x:v>
      </x:c>
      <x:c r="B16" t="str">
        <x:v>0.15</x:v>
      </x:c>
      <x:c r="C16" t="str">
        <x:v>AI calls go through server-side AI service and every call logs ai_runs metadata.</x:v>
      </x:c>
      <x:c r="D16" t="str">
        <x:v>Code/DB test</x:v>
      </x:c>
      <x:c r="E16" t="str">
        <x:v>No</x:v>
      </x:c>
      <x:c r="F16" t="str"/>
    </x:row>
    <x:row r="17">
      <x:c r="A17" t="str">
        <x:v>AC-016</x:v>
      </x:c>
      <x:c r="B17" t="str">
        <x:v>0.16</x:v>
      </x:c>
      <x:c r="C17" t="str">
        <x:v>AI provider keys are not exposed to client bundle or repository.</x:v>
      </x:c>
      <x:c r="D17" t="str">
        <x:v>Security check</x:v>
      </x:c>
      <x:c r="E17" t="str">
        <x:v>No</x:v>
      </x:c>
      <x:c r="F17" t="str"/>
    </x:row>
    <x:row r="18">
      <x:c r="A18" t="str">
        <x:v>AC-017</x:v>
      </x:c>
      <x:c r="B18" t="str">
        <x:v>0.17</x:v>
      </x:c>
      <x:c r="C18" t="str">
        <x:v>App shell has sidebar/header and protected navigation routes.</x:v>
      </x:c>
      <x:c r="D18" t="str">
        <x:v>Visual/manual test</x:v>
      </x:c>
      <x:c r="E18" t="str">
        <x:v>No</x:v>
      </x:c>
      <x:c r="F18" t="str"/>
    </x:row>
    <x:row r="19">
      <x:c r="A19" t="str">
        <x:v>AC-018</x:v>
      </x:c>
      <x:c r="B19" t="str">
        <x:v>0.18</x:v>
      </x:c>
      <x:c r="C19" t="str">
        <x:v>A user can create and view at least one project with default language.</x:v>
      </x:c>
      <x:c r="D19" t="str">
        <x:v>Manual test</x:v>
      </x:c>
      <x:c r="E19" t="str">
        <x:v>No</x:v>
      </x:c>
      <x:c r="F19" t="str"/>
    </x:row>
    <x:row r="20">
      <x:c r="A20" t="str">
        <x:v>AC-019</x:v>
      </x:c>
      <x:c r="B20" t="str">
        <x:v>1.1</x:v>
      </x:c>
      <x:c r="C20" t="str">
        <x:v>A user can create, edit, list, and delete stakeholders inside a project.</x:v>
      </x:c>
      <x:c r="D20" t="str">
        <x:v>Manual CRUD test</x:v>
      </x:c>
      <x:c r="E20" t="str">
        <x:v>No</x:v>
      </x:c>
      <x:c r="F20" t="str"/>
    </x:row>
    <x:row r="21">
      <x:c r="A21" t="str">
        <x:v>AC-020</x:v>
      </x:c>
      <x:c r="B21" t="str">
        <x:v>1.2</x:v>
      </x:c>
      <x:c r="C21" t="str">
        <x:v>A user can manually log a project communication with source, date, stakeholders, and summary.</x:v>
      </x:c>
      <x:c r="D21" t="str">
        <x:v>Manual CRUD test</x:v>
      </x:c>
      <x:c r="E21" t="str">
        <x:v>No</x:v>
      </x:c>
      <x:c r="F21" t="str"/>
    </x:row>
    <x:row r="22">
      <x:c r="A22" t="str">
        <x:v>AC-021</x:v>
      </x:c>
      <x:c r="B22" t="str">
        <x:v>1.3</x:v>
      </x:c>
      <x:c r="C22" t="str">
        <x:v>A user can create meeting notes linked to a project and attendees.</x:v>
      </x:c>
      <x:c r="D22" t="str">
        <x:v>Manual test</x:v>
      </x:c>
      <x:c r="E22" t="str">
        <x:v>No</x:v>
      </x:c>
      <x:c r="F22" t="str"/>
    </x:row>
    <x:row r="23">
      <x:c r="A23" t="str">
        <x:v>AC-022</x:v>
      </x:c>
      <x:c r="B23" t="str">
        <x:v>1.4</x:v>
      </x:c>
      <x:c r="C23" t="str">
        <x:v>A user can create a decision linked to project and source communication/meeting.</x:v>
      </x:c>
      <x:c r="D23" t="str">
        <x:v>Manual test</x:v>
      </x:c>
      <x:c r="E23" t="str">
        <x:v>No</x:v>
      </x:c>
      <x:c r="F23" t="str"/>
    </x:row>
    <x:row r="24">
      <x:c r="A24" t="str">
        <x:v>AC-023</x:v>
      </x:c>
      <x:c r="B24" t="str">
        <x:v>1.5</x:v>
      </x:c>
      <x:c r="C24" t="str">
        <x:v>A user can upload/register evidence and link it to a project.</x:v>
      </x:c>
      <x:c r="D24" t="str">
        <x:v>Manual/storage test</x:v>
      </x:c>
      <x:c r="E24" t="str">
        <x:v>No</x:v>
      </x:c>
      <x:c r="F24" t="str"/>
    </x:row>
    <x:row r="25">
      <x:c r="A25" t="str">
        <x:v>AC-024</x:v>
      </x:c>
      <x:c r="B25" t="str">
        <x:v>1.6</x:v>
      </x:c>
      <x:c r="C25" t="str">
        <x:v>A user can link communication/meeting/decision/evidence records and view the links.</x:v>
      </x:c>
      <x:c r="D25" t="str">
        <x:v>Manual test</x:v>
      </x:c>
      <x:c r="E25" t="str">
        <x:v>No</x:v>
      </x:c>
      <x:c r="F25" t="str"/>
    </x:row>
    <x:row r="26">
      <x:c r="A26" t="str">
        <x:v>AC-025</x:v>
      </x:c>
      <x:c r="B26" t="str">
        <x:v>1.7</x:v>
      </x:c>
      <x:c r="C26" t="str">
        <x:v>AI suggests decisions from meeting notes but does not save them until user confirms.</x:v>
      </x:c>
      <x:c r="D26" t="str">
        <x:v>AI/manual test</x:v>
      </x:c>
      <x:c r="E26" t="str">
        <x:v>No</x:v>
      </x:c>
      <x:c r="F26" t="str"/>
    </x:row>
    <x:row r="27">
      <x:c r="A27" t="str">
        <x:v>AC-026</x:v>
      </x:c>
      <x:c r="B27" t="str">
        <x:v>1.8</x:v>
      </x:c>
      <x:c r="C27" t="str">
        <x:v>AI suggests action items from notes/communications and user can accept or discard them.</x:v>
      </x:c>
      <x:c r="D27" t="str">
        <x:v>AI/manual test</x:v>
      </x:c>
      <x:c r="E27" t="str">
        <x:v>No</x:v>
      </x:c>
      <x:c r="F27" t="str"/>
    </x:row>
    <x:row r="28">
      <x:c r="A28" t="str">
        <x:v>AC-027</x:v>
      </x:c>
      <x:c r="B28" t="str">
        <x:v>1.9</x:v>
      </x:c>
      <x:c r="C28" t="str">
        <x:v>AI generates a concise project communication summary referencing existing records.</x:v>
      </x:c>
      <x:c r="D28" t="str">
        <x:v>AI/manual test</x:v>
      </x:c>
      <x:c r="E28" t="str">
        <x:v>No</x:v>
      </x:c>
      <x:c r="F28" t="str"/>
    </x:row>
    <x:row r="29">
      <x:c r="A29" t="str">
        <x:v>AC-028</x:v>
      </x:c>
      <x:c r="B29" t="str">
        <x:v>1.10</x:v>
      </x:c>
      <x:c r="C29" t="str">
        <x:v>Search returns matching communications, meetings, decisions, and documents by keyword.</x:v>
      </x:c>
      <x:c r="D29" t="str">
        <x:v>Search test</x:v>
      </x:c>
      <x:c r="E29" t="str">
        <x:v>No</x:v>
      </x:c>
      <x:c r="F29" t="str"/>
    </x:row>
    <x:row r="30">
      <x:c r="A30" t="str">
        <x:v>AC-029</x:v>
      </x:c>
      <x:c r="B30" t="str">
        <x:v>1.11</x:v>
      </x:c>
      <x:c r="C30" t="str">
        <x:v>Dashboard shows recent decisions, communications, evidence, and missing/unlinked items.</x:v>
      </x:c>
      <x:c r="D30" t="str">
        <x:v>Visual/manual test</x:v>
      </x:c>
      <x:c r="E30" t="str">
        <x:v>No</x:v>
      </x:c>
      <x:c r="F30" t="str"/>
    </x:row>
    <x:row r="31">
      <x:c r="A31" t="str">
        <x:v>AC-030</x:v>
      </x:c>
      <x:c r="B31" t="str">
        <x:v>1.12</x:v>
      </x:c>
      <x:c r="C31" t="str">
        <x:v>Create/update/delete of critical MVP-0 records produces an audit log record.</x:v>
      </x:c>
      <x:c r="D31" t="str">
        <x:v>DB test</x:v>
      </x:c>
      <x:c r="E31" t="str">
        <x:v>No</x:v>
      </x:c>
      <x:c r="F31" t="str"/>
    </x:row>
    <x:row r="32">
      <x:c r="A32" t="str">
        <x:v>AC-031</x:v>
      </x:c>
      <x:c r="B32" t="str">
        <x:v>1.13</x:v>
      </x:c>
      <x:c r="C32" t="str">
        <x:v>Full vertical slice is demonstrated: project → meeting → AI decision → evidence link → search.</x:v>
      </x:c>
      <x:c r="D32" t="str">
        <x:v>End-to-end test</x:v>
      </x:c>
      <x:c r="E32" t="str">
        <x:v>No</x:v>
      </x:c>
      <x:c r="F32" t="str"/>
    </x:row>
    <x:row r="33">
      <x:c r="A33" t="str">
        <x:v>AC-032</x:v>
      </x:c>
      <x:c r="B33" t="str">
        <x:v>1.14</x:v>
      </x:c>
      <x:c r="C33" t="str">
        <x:v>AI latency/cost and key page performance are measured and documented at least once.</x:v>
      </x:c>
      <x:c r="D33" t="str">
        <x:v>Manual measurement</x:v>
      </x:c>
      <x:c r="E33" t="str">
        <x:v>No</x:v>
      </x:c>
      <x:c r="F33" t="str"/>
    </x:row>
    <x:row r="34">
      <x:c r="A34" t="str">
        <x:v>AC-033</x:v>
      </x:c>
      <x:c r="B34" t="str">
        <x:v>1.15</x:v>
      </x:c>
      <x:c r="C34" t="str">
        <x:v>Demo script clearly explains the problem, workflow, and value of MVP-0.</x:v>
      </x:c>
      <x:c r="D34" t="str">
        <x:v>Document review</x:v>
      </x:c>
      <x:c r="E34" t="str">
        <x:v>No</x:v>
      </x:c>
      <x:c r="F34" t="str"/>
    </x:row>
    <x:row r="35">
      <x:c r="A35" t="str">
        <x:v>AC-034</x:v>
      </x:c>
      <x:c r="B35" t="str">
        <x:v>1.16</x:v>
      </x:c>
      <x:c r="C35" t="str">
        <x:v>Preview deployment is accessible and passes smoke test.</x:v>
      </x:c>
      <x:c r="D35" t="str">
        <x:v>Deployment test</x:v>
      </x:c>
      <x:c r="E35" t="str">
        <x:v>No</x:v>
      </x:c>
      <x:c r="F35" t="str"/>
    </x:row>
  </x:sheetData>
  <x:dataValidations count="1">
    <x:dataValidation type="list" sqref="E2:E35">
      <x:formula1>"No,Yes,Partial,N/A"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1cf7aa296b474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8" hidden="0" customWidth="1"/>
    <x:col min="4" max="4" width="18" hidden="0" customWidth="1"/>
    <x:col min="5" max="5" width="12" hidden="0" customWidth="1"/>
    <x:col min="6" max="6" width="45" hidden="0" customWidth="1"/>
  </x:cols>
  <x:sheetData>
    <x:row r="1" ht="28" customHeight="1">
      <x:c r="A1" s="22" t="str">
        <x:v>Task ID</x:v>
      </x:c>
      <x:c r="B1" s="22" t="str">
        <x:v>Task</x:v>
      </x:c>
      <x:c r="C1" s="22" t="str">
        <x:v>Depends On</x:v>
      </x:c>
      <x:c r="D1" s="22" t="str">
        <x:v>Dependency Type</x:v>
      </x:c>
      <x:c r="E1" s="22" t="str">
        <x:v>Blocking?</x:v>
      </x:c>
      <x:c r="F1" s="22" t="str">
        <x:v>Notes</x:v>
      </x:c>
    </x:row>
    <x:row r="2">
      <x:c r="A2" t="str">
        <x:v>0.2</x:v>
      </x:c>
      <x:c r="B2" t="str">
        <x:v>Create single source of truth folder</x:v>
      </x:c>
      <x:c r="C2" t="str">
        <x:v>0.1</x:v>
      </x:c>
      <x:c r="D2" t="str">
        <x:v>Finish-to-Start</x:v>
      </x:c>
      <x:c r="E2" t="str">
        <x:v>Yes</x:v>
      </x:c>
      <x:c r="F2" t="str">
        <x:v>Complete dependency before starting task.</x:v>
      </x:c>
    </x:row>
    <x:row r="3">
      <x:c r="A3" t="str">
        <x:v>0.3</x:v>
      </x:c>
      <x:c r="B3" t="str">
        <x:v>Define Definition of Done</x:v>
      </x:c>
      <x:c r="C3" t="str">
        <x:v>0.1</x:v>
      </x:c>
      <x:c r="D3" t="str">
        <x:v>Finish-to-Start</x:v>
      </x:c>
      <x:c r="E3" t="str">
        <x:v>Yes</x:v>
      </x:c>
      <x:c r="F3" t="str">
        <x:v>Complete dependency before starting task.</x:v>
      </x:c>
    </x:row>
    <x:row r="4">
      <x:c r="A4" t="str">
        <x:v>0.4</x:v>
      </x:c>
      <x:c r="B4" t="str">
        <x:v>Create project repo</x:v>
      </x:c>
      <x:c r="C4" t="str">
        <x:v>0.1</x:v>
      </x:c>
      <x:c r="D4" t="str">
        <x:v>Finish-to-Start</x:v>
      </x:c>
      <x:c r="E4" t="str">
        <x:v>Yes</x:v>
      </x:c>
      <x:c r="F4" t="str">
        <x:v>Complete dependency before starting task.</x:v>
      </x:c>
    </x:row>
    <x:row r="5">
      <x:c r="A5" t="str">
        <x:v>0.5</x:v>
      </x:c>
      <x:c r="B5" t="str">
        <x:v>Install Next.js + TypeScript app</x:v>
      </x:c>
      <x:c r="C5" t="str">
        <x:v>0.4</x:v>
      </x:c>
      <x:c r="D5" t="str">
        <x:v>Finish-to-Start</x:v>
      </x:c>
      <x:c r="E5" t="str">
        <x:v>Yes</x:v>
      </x:c>
      <x:c r="F5" t="str">
        <x:v>Complete dependency before starting task.</x:v>
      </x:c>
    </x:row>
    <x:row r="6">
      <x:c r="A6" t="str">
        <x:v>0.6</x:v>
      </x:c>
      <x:c r="B6" t="str">
        <x:v>Install UI foundation</x:v>
      </x:c>
      <x:c r="C6" t="str">
        <x:v>0.5</x:v>
      </x:c>
      <x:c r="D6" t="str">
        <x:v>Finish-to-Start</x:v>
      </x:c>
      <x:c r="E6" t="str">
        <x:v>Yes</x:v>
      </x:c>
      <x:c r="F6" t="str">
        <x:v>Complete dependency before starting task.</x:v>
      </x:c>
    </x:row>
    <x:row r="7">
      <x:c r="A7" t="str">
        <x:v>0.7</x:v>
      </x:c>
      <x:c r="B7" t="str">
        <x:v>Install next-intl</x:v>
      </x:c>
      <x:c r="C7" t="str">
        <x:v>0.5</x:v>
      </x:c>
      <x:c r="D7" t="str">
        <x:v>Finish-to-Start</x:v>
      </x:c>
      <x:c r="E7" t="str">
        <x:v>Yes</x:v>
      </x:c>
      <x:c r="F7" t="str">
        <x:v>Complete dependency before starting task.</x:v>
      </x:c>
    </x:row>
    <x:row r="8">
      <x:c r="A8" t="str">
        <x:v>0.8</x:v>
      </x:c>
      <x:c r="B8" t="str">
        <x:v>Create language switcher</x:v>
      </x:c>
      <x:c r="C8" t="str">
        <x:v>0.7</x:v>
      </x:c>
      <x:c r="D8" t="str">
        <x:v>Finish-to-Start</x:v>
      </x:c>
      <x:c r="E8" t="str">
        <x:v>Yes</x:v>
      </x:c>
      <x:c r="F8" t="str">
        <x:v>Complete dependency before starting task.</x:v>
      </x:c>
    </x:row>
    <x:row r="9">
      <x:c r="A9" t="str">
        <x:v>0.9</x:v>
      </x:c>
      <x:c r="B9" t="str">
        <x:v>Create Supabase project</x:v>
      </x:c>
      <x:c r="C9" t="str">
        <x:v>0.4</x:v>
      </x:c>
      <x:c r="D9" t="str">
        <x:v>Finish-to-Start</x:v>
      </x:c>
      <x:c r="E9" t="str">
        <x:v>Yes</x:v>
      </x:c>
      <x:c r="F9" t="str">
        <x:v>Complete dependency before starting task.</x:v>
      </x:c>
    </x:row>
    <x:row r="10">
      <x:c r="A10" t="str">
        <x:v>0.10</x:v>
      </x:c>
      <x:c r="B10" t="str">
        <x:v>Create baseline DB schema</x:v>
      </x:c>
      <x:c r="C10" t="str">
        <x:v>0.9</x:v>
      </x:c>
      <x:c r="D10" t="str">
        <x:v>Finish-to-Start</x:v>
      </x:c>
      <x:c r="E10" t="str">
        <x:v>Yes</x:v>
      </x:c>
      <x:c r="F10" t="str">
        <x:v>Complete dependency before starting task.</x:v>
      </x:c>
    </x:row>
    <x:row r="11">
      <x:c r="A11" t="str">
        <x:v>0.11</x:v>
      </x:c>
      <x:c r="B11" t="str">
        <x:v>Configure Supabase Auth</x:v>
      </x:c>
      <x:c r="C11" t="str">
        <x:v>0.9,0.5</x:v>
      </x:c>
      <x:c r="D11" t="str">
        <x:v>Finish-to-Start</x:v>
      </x:c>
      <x:c r="E11" t="str">
        <x:v>Yes</x:v>
      </x:c>
      <x:c r="F11" t="str">
        <x:v>Complete dependency before starting task.</x:v>
      </x:c>
    </x:row>
    <x:row r="12">
      <x:c r="A12" t="str">
        <x:v>0.12</x:v>
      </x:c>
      <x:c r="B12" t="str">
        <x:v>Implement organization membership model</x:v>
      </x:c>
      <x:c r="C12" t="str">
        <x:v>0.10,0.11</x:v>
      </x:c>
      <x:c r="D12" t="str">
        <x:v>Finish-to-Start</x:v>
      </x:c>
      <x:c r="E12" t="str">
        <x:v>Yes</x:v>
      </x:c>
      <x:c r="F12" t="str">
        <x:v>Complete dependency before starting task.</x:v>
      </x:c>
    </x:row>
    <x:row r="13">
      <x:c r="A13" t="str">
        <x:v>0.13</x:v>
      </x:c>
      <x:c r="B13" t="str">
        <x:v>Create initial RLS policies</x:v>
      </x:c>
      <x:c r="C13" t="str">
        <x:v>0.10,0.12</x:v>
      </x:c>
      <x:c r="D13" t="str">
        <x:v>Finish-to-Start</x:v>
      </x:c>
      <x:c r="E13" t="str">
        <x:v>Yes</x:v>
      </x:c>
      <x:c r="F13" t="str">
        <x:v>Complete dependency before starting task.</x:v>
      </x:c>
    </x:row>
    <x:row r="14">
      <x:c r="A14" t="str">
        <x:v>0.14</x:v>
      </x:c>
      <x:c r="B14" t="str">
        <x:v>Create RLS smoke tests</x:v>
      </x:c>
      <x:c r="C14" t="str">
        <x:v>0.13</x:v>
      </x:c>
      <x:c r="D14" t="str">
        <x:v>Finish-to-Start</x:v>
      </x:c>
      <x:c r="E14" t="str">
        <x:v>Yes</x:v>
      </x:c>
      <x:c r="F14" t="str">
        <x:v>Complete dependency before starting task.</x:v>
      </x:c>
    </x:row>
    <x:row r="15">
      <x:c r="A15" t="str">
        <x:v>0.15</x:v>
      </x:c>
      <x:c r="B15" t="str">
        <x:v>Create AI service abstraction</x:v>
      </x:c>
      <x:c r="C15" t="str">
        <x:v>0.10</x:v>
      </x:c>
      <x:c r="D15" t="str">
        <x:v>Finish-to-Start</x:v>
      </x:c>
      <x:c r="E15" t="str">
        <x:v>Yes</x:v>
      </x:c>
      <x:c r="F15" t="str">
        <x:v>Complete dependency before starting task.</x:v>
      </x:c>
    </x:row>
    <x:row r="16">
      <x:c r="A16" t="str">
        <x:v>0.16</x:v>
      </x:c>
      <x:c r="B16" t="str">
        <x:v>Configure AI environment variables</x:v>
      </x:c>
      <x:c r="C16" t="str">
        <x:v>0.15</x:v>
      </x:c>
      <x:c r="D16" t="str">
        <x:v>Finish-to-Start</x:v>
      </x:c>
      <x:c r="E16" t="str">
        <x:v>Yes</x:v>
      </x:c>
      <x:c r="F16" t="str">
        <x:v>Complete dependency before starting task.</x:v>
      </x:c>
    </x:row>
    <x:row r="17">
      <x:c r="A17" t="str">
        <x:v>0.17</x:v>
      </x:c>
      <x:c r="B17" t="str">
        <x:v>Create app shell navigation</x:v>
      </x:c>
      <x:c r="C17" t="str">
        <x:v>0.6,0.11</x:v>
      </x:c>
      <x:c r="D17" t="str">
        <x:v>Finish-to-Start</x:v>
      </x:c>
      <x:c r="E17" t="str">
        <x:v>Yes</x:v>
      </x:c>
      <x:c r="F17" t="str">
        <x:v>Complete dependency before starting task.</x:v>
      </x:c>
    </x:row>
    <x:row r="18">
      <x:c r="A18" t="str">
        <x:v>0.18</x:v>
      </x:c>
      <x:c r="B18" t="str">
        <x:v>Create project shell</x:v>
      </x:c>
      <x:c r="C18" t="str">
        <x:v>0.10,0.17</x:v>
      </x:c>
      <x:c r="D18" t="str">
        <x:v>Finish-to-Start</x:v>
      </x:c>
      <x:c r="E18" t="str">
        <x:v>Yes</x:v>
      </x:c>
      <x:c r="F18" t="str">
        <x:v>Complete dependency before starting task.</x:v>
      </x:c>
    </x:row>
    <x:row r="19">
      <x:c r="A19" t="str">
        <x:v>1.1</x:v>
      </x:c>
      <x:c r="B19" t="str">
        <x:v>Create stakeholder register basic</x:v>
      </x:c>
      <x:c r="C19" t="str">
        <x:v>0.18</x:v>
      </x:c>
      <x:c r="D19" t="str">
        <x:v>Finish-to-Start</x:v>
      </x:c>
      <x:c r="E19" t="str">
        <x:v>Yes</x:v>
      </x:c>
      <x:c r="F19" t="str">
        <x:v>Complete dependency before starting task.</x:v>
      </x:c>
    </x:row>
    <x:row r="20">
      <x:c r="A20" t="str">
        <x:v>1.2</x:v>
      </x:c>
      <x:c r="B20" t="str">
        <x:v>Create communication log manual</x:v>
      </x:c>
      <x:c r="C20" t="str">
        <x:v>0.18,1.1</x:v>
      </x:c>
      <x:c r="D20" t="str">
        <x:v>Finish-to-Start</x:v>
      </x:c>
      <x:c r="E20" t="str">
        <x:v>Yes</x:v>
      </x:c>
      <x:c r="F20" t="str">
        <x:v>Complete dependency before starting task.</x:v>
      </x:c>
    </x:row>
    <x:row r="21">
      <x:c r="A21" t="str">
        <x:v>1.3</x:v>
      </x:c>
      <x:c r="B21" t="str">
        <x:v>Create meeting notes screen</x:v>
      </x:c>
      <x:c r="C21" t="str">
        <x:v>0.18,1.1</x:v>
      </x:c>
      <x:c r="D21" t="str">
        <x:v>Finish-to-Start</x:v>
      </x:c>
      <x:c r="E21" t="str">
        <x:v>Yes</x:v>
      </x:c>
      <x:c r="F21" t="str">
        <x:v>Complete dependency before starting task.</x:v>
      </x:c>
    </x:row>
    <x:row r="22">
      <x:c r="A22" t="str">
        <x:v>1.4</x:v>
      </x:c>
      <x:c r="B22" t="str">
        <x:v>Create decision log</x:v>
      </x:c>
      <x:c r="C22" t="str">
        <x:v>1.2,1.3</x:v>
      </x:c>
      <x:c r="D22" t="str">
        <x:v>Finish-to-Start</x:v>
      </x:c>
      <x:c r="E22" t="str">
        <x:v>Yes</x:v>
      </x:c>
      <x:c r="F22" t="str">
        <x:v>Complete dependency before starting task.</x:v>
      </x:c>
    </x:row>
    <x:row r="23">
      <x:c r="A23" t="str">
        <x:v>1.5</x:v>
      </x:c>
      <x:c r="B23" t="str">
        <x:v>Create document/evidence repository basic</x:v>
      </x:c>
      <x:c r="C23" t="str">
        <x:v>0.10,0.18</x:v>
      </x:c>
      <x:c r="D23" t="str">
        <x:v>Finish-to-Start</x:v>
      </x:c>
      <x:c r="E23" t="str">
        <x:v>Yes</x:v>
      </x:c>
      <x:c r="F23" t="str">
        <x:v>Complete dependency before starting task.</x:v>
      </x:c>
    </x:row>
    <x:row r="24">
      <x:c r="A24" t="str">
        <x:v>1.6</x:v>
      </x:c>
      <x:c r="B24" t="str">
        <x:v>Create traceability links table UI</x:v>
      </x:c>
      <x:c r="C24" t="str">
        <x:v>1.2,1.3,1.4,1.5</x:v>
      </x:c>
      <x:c r="D24" t="str">
        <x:v>Finish-to-Start</x:v>
      </x:c>
      <x:c r="E24" t="str">
        <x:v>Yes</x:v>
      </x:c>
      <x:c r="F24" t="str">
        <x:v>Complete dependency before starting task.</x:v>
      </x:c>
    </x:row>
    <x:row r="25">
      <x:c r="A25" t="str">
        <x:v>1.7</x:v>
      </x:c>
      <x:c r="B25" t="str">
        <x:v>AI extract decisions from meeting notes</x:v>
      </x:c>
      <x:c r="C25" t="str">
        <x:v>0.15,1.3,1.4</x:v>
      </x:c>
      <x:c r="D25" t="str">
        <x:v>Finish-to-Start</x:v>
      </x:c>
      <x:c r="E25" t="str">
        <x:v>Yes</x:v>
      </x:c>
      <x:c r="F25" t="str">
        <x:v>Complete dependency before starting task.</x:v>
      </x:c>
    </x:row>
    <x:row r="26">
      <x:c r="A26" t="str">
        <x:v>1.8</x:v>
      </x:c>
      <x:c r="B26" t="str">
        <x:v>AI extract action items</x:v>
      </x:c>
      <x:c r="C26" t="str">
        <x:v>0.15,1.2,1.3</x:v>
      </x:c>
      <x:c r="D26" t="str">
        <x:v>Finish-to-Start</x:v>
      </x:c>
      <x:c r="E26" t="str">
        <x:v>Yes</x:v>
      </x:c>
      <x:c r="F26" t="str">
        <x:v>Complete dependency before starting task.</x:v>
      </x:c>
    </x:row>
    <x:row r="27">
      <x:c r="A27" t="str">
        <x:v>1.9</x:v>
      </x:c>
      <x:c r="B27" t="str">
        <x:v>AI summarize communication history</x:v>
      </x:c>
      <x:c r="C27" t="str">
        <x:v>1.2,1.4,0.15</x:v>
      </x:c>
      <x:c r="D27" t="str">
        <x:v>Finish-to-Start</x:v>
      </x:c>
      <x:c r="E27" t="str">
        <x:v>Yes</x:v>
      </x:c>
      <x:c r="F27" t="str">
        <x:v>Complete dependency before starting task.</x:v>
      </x:c>
    </x:row>
    <x:row r="28">
      <x:c r="A28" t="str">
        <x:v>1.10</x:v>
      </x:c>
      <x:c r="B28" t="str">
        <x:v>Create basic search</x:v>
      </x:c>
      <x:c r="C28" t="str">
        <x:v>1.2,1.3,1.4,1.5</x:v>
      </x:c>
      <x:c r="D28" t="str">
        <x:v>Finish-to-Start</x:v>
      </x:c>
      <x:c r="E28" t="str">
        <x:v>Yes</x:v>
      </x:c>
      <x:c r="F28" t="str">
        <x:v>Complete dependency before starting task.</x:v>
      </x:c>
    </x:row>
    <x:row r="29">
      <x:c r="A29" t="str">
        <x:v>1.11</x:v>
      </x:c>
      <x:c r="B29" t="str">
        <x:v>Create MVP-0 project memory dashboard</x:v>
      </x:c>
      <x:c r="C29" t="str">
        <x:v>1.2,1.4,1.5,1.6</x:v>
      </x:c>
      <x:c r="D29" t="str">
        <x:v>Finish-to-Start</x:v>
      </x:c>
      <x:c r="E29" t="str">
        <x:v>Yes</x:v>
      </x:c>
      <x:c r="F29" t="str">
        <x:v>Complete dependency before starting task.</x:v>
      </x:c>
    </x:row>
    <x:row r="30">
      <x:c r="A30" t="str">
        <x:v>1.12</x:v>
      </x:c>
      <x:c r="B30" t="str">
        <x:v>Add audit log for critical records</x:v>
      </x:c>
      <x:c r="C30" t="str">
        <x:v>0.10,1.4,1.5,1.6</x:v>
      </x:c>
      <x:c r="D30" t="str">
        <x:v>Finish-to-Start</x:v>
      </x:c>
      <x:c r="E30" t="str">
        <x:v>Yes</x:v>
      </x:c>
      <x:c r="F30" t="str">
        <x:v>Complete dependency before starting task.</x:v>
      </x:c>
    </x:row>
    <x:row r="31">
      <x:c r="A31" t="str">
        <x:v>1.13</x:v>
      </x:c>
      <x:c r="B31" t="str">
        <x:v>Manual end-to-end scenario test</x:v>
      </x:c>
      <x:c r="C31" t="str">
        <x:v>1.6,1.7,1.10,1.11</x:v>
      </x:c>
      <x:c r="D31" t="str">
        <x:v>Finish-to-Start</x:v>
      </x:c>
      <x:c r="E31" t="str">
        <x:v>Yes</x:v>
      </x:c>
      <x:c r="F31" t="str">
        <x:v>Complete dependency before starting task.</x:v>
      </x:c>
    </x:row>
    <x:row r="32">
      <x:c r="A32" t="str">
        <x:v>1.14</x:v>
      </x:c>
      <x:c r="B32" t="str">
        <x:v>Performance and AI cost smoke check</x:v>
      </x:c>
      <x:c r="C32" t="str">
        <x:v>1.7,1.8,1.9,1.11</x:v>
      </x:c>
      <x:c r="D32" t="str">
        <x:v>Finish-to-Start</x:v>
      </x:c>
      <x:c r="E32" t="str">
        <x:v>Yes</x:v>
      </x:c>
      <x:c r="F32" t="str">
        <x:v>Complete dependency before starting task.</x:v>
      </x:c>
    </x:row>
    <x:row r="33">
      <x:c r="A33" t="str">
        <x:v>1.15</x:v>
      </x:c>
      <x:c r="B33" t="str">
        <x:v>Prepare demo script</x:v>
      </x:c>
      <x:c r="C33" t="str">
        <x:v>1.11,1.13</x:v>
      </x:c>
      <x:c r="D33" t="str">
        <x:v>Finish-to-Start</x:v>
      </x:c>
      <x:c r="E33" t="str">
        <x:v>Yes</x:v>
      </x:c>
      <x:c r="F33" t="str">
        <x:v>Complete dependency before starting task.</x:v>
      </x:c>
    </x:row>
    <x:row r="34">
      <x:c r="A34" t="str">
        <x:v>1.16</x:v>
      </x:c>
      <x:c r="B34" t="str">
        <x:v>Deploy MVP-0 preview</x:v>
      </x:c>
      <x:c r="C34" t="str">
        <x:v>0.17,1.13</x:v>
      </x:c>
      <x:c r="D34" t="str">
        <x:v>Finish-to-Start</x:v>
      </x:c>
      <x:c r="E34" t="str">
        <x:v>Yes</x:v>
      </x:c>
      <x:c r="F34" t="str">
        <x:v>Complete dependency before starting task.</x:v>
      </x:c>
    </x:row>
  </x:sheetData>
  <x:pageMargins left="0.7" right="0.7" top="0.75" bottom="0.75" header="0.3" footer="0.3"/>
  <x:tableParts count="1">
    <x:tablePart xmlns:r="http://schemas.openxmlformats.org/officeDocument/2006/relationships" r:id="R738b5d6c1fba47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45" hidden="0" customWidth="1"/>
    <x:col min="7" max="7" width="24" hidden="0" customWidth="1"/>
    <x:col min="8" max="8" width="14" hidden="0" customWidth="1"/>
    <x:col min="9" max="9" width="28" hidden="0" customWidth="1"/>
    <x:col min="10" max="10" width="45" hidden="0" customWidth="1"/>
  </x:cols>
  <x:sheetData>
    <x:row r="1" ht="28" customHeight="1">
      <x:c r="A1" s="22" t="str">
        <x:v>Risk ID</x:v>
      </x:c>
      <x:c r="B1" s="22" t="str">
        <x:v>Risk</x:v>
      </x:c>
      <x:c r="C1" s="22" t="str">
        <x:v>Likelihood</x:v>
      </x:c>
      <x:c r="D1" s="22" t="str">
        <x:v>Impact</x:v>
      </x:c>
      <x:c r="E1" s="22" t="str">
        <x:v>Severity</x:v>
      </x:c>
      <x:c r="F1" s="22" t="str">
        <x:v>Mitigation</x:v>
      </x:c>
      <x:c r="G1" s="22" t="str">
        <x:v>Owner</x:v>
      </x:c>
      <x:c r="H1" s="22" t="str">
        <x:v>Status</x:v>
      </x:c>
      <x:c r="I1" s="22" t="str">
        <x:v>Trigger</x:v>
      </x:c>
      <x:c r="J1" s="22" t="str">
        <x:v>Response Plan</x:v>
      </x:c>
    </x:row>
    <x:row r="2">
      <x:c r="A2" t="str">
        <x:v>BR-001</x:v>
      </x:c>
      <x:c r="B2" t="str">
        <x:v>Scope creep from adding PMO/BPM/ERP/materials too early</x:v>
      </x:c>
      <x:c r="C2" t="str">
        <x:v>High</x:v>
      </x:c>
      <x:c r="D2" t="str">
        <x:v>High</x:v>
      </x:c>
      <x:c r="E2" t="str">
        <x:v>Critical</x:v>
      </x:c>
      <x:c r="F2" t="str">
        <x:v>Enforce MVP-0 wedge and MoSCoW exclusions.</x:v>
      </x:c>
      <x:c r="G2" t="str">
        <x:v>Founder / Solo Developer</x:v>
      </x:c>
      <x:c r="H2" t="str">
        <x:v>Open</x:v>
      </x:c>
      <x:c r="I2" t="str">
        <x:v>New module requested before MVP-0 demo</x:v>
      </x:c>
      <x:c r="J2" t="str">
        <x:v>Move to Later unless it directly supports traceability.</x:v>
      </x:c>
    </x:row>
    <x:row r="3">
      <x:c r="A3" t="str">
        <x:v>BR-002</x:v>
      </x:c>
      <x:c r="B3" t="str">
        <x:v>Solo capacity overload</x:v>
      </x:c>
      <x:c r="C3" t="str">
        <x:v>High</x:v>
      </x:c>
      <x:c r="D3" t="str">
        <x:v>High</x:v>
      </x:c>
      <x:c r="E3" t="str">
        <x:v>Critical</x:v>
      </x:c>
      <x:c r="F3" t="str">
        <x:v>Plan only 70% of available hours and protect buffer.</x:v>
      </x:c>
      <x:c r="G3" t="str">
        <x:v>Founder / Solo Developer</x:v>
      </x:c>
      <x:c r="H3" t="str">
        <x:v>Open</x:v>
      </x:c>
      <x:c r="I3" t="str">
        <x:v>Sprint commitment exceeds planned capacity</x:v>
      </x:c>
      <x:c r="J3" t="str">
        <x:v>Cut P2/P3 items from sprint.</x:v>
      </x:c>
    </x:row>
    <x:row r="4">
      <x:c r="A4" t="str">
        <x:v>BR-003</x:v>
      </x:c>
      <x:c r="B4" t="str">
        <x:v>RLS security defect</x:v>
      </x:c>
      <x:c r="C4" t="str">
        <x:v>Medium</x:v>
      </x:c>
      <x:c r="D4" t="str">
        <x:v>High</x:v>
      </x:c>
      <x:c r="E4" t="str">
        <x:v>High</x:v>
      </x:c>
      <x:c r="F4" t="str">
        <x:v>Create RLS tests in Phase 0 and run before deploy.</x:v>
      </x:c>
      <x:c r="G4" t="str">
        <x:v>Founder / Solo Developer</x:v>
      </x:c>
      <x:c r="H4" t="str">
        <x:v>Open</x:v>
      </x:c>
      <x:c r="I4" t="str">
        <x:v>Cross-org data visible in tests</x:v>
      </x:c>
      <x:c r="J4" t="str">
        <x:v>Block release until fixed.</x:v>
      </x:c>
    </x:row>
    <x:row r="5">
      <x:c r="A5" t="str">
        <x:v>BR-004</x:v>
      </x:c>
      <x:c r="B5" t="str">
        <x:v>AI output inaccurate or hallucinated</x:v>
      </x:c>
      <x:c r="C5" t="str">
        <x:v>Medium</x:v>
      </x:c>
      <x:c r="D5" t="str">
        <x:v>Medium</x:v>
      </x:c>
      <x:c r="E5" t="str">
        <x:v>Medium</x:v>
      </x:c>
      <x:c r="F5" t="str">
        <x:v>Human-in-the-loop, show evidence, require confirmation.</x:v>
      </x:c>
      <x:c r="G5" t="str">
        <x:v>Founder / Solo Developer</x:v>
      </x:c>
      <x:c r="H5" t="str">
        <x:v>Open</x:v>
      </x:c>
      <x:c r="I5" t="str">
        <x:v>AI suggests unsupported decision</x:v>
      </x:c>
      <x:c r="J5" t="str">
        <x:v>Reject suggestion and refine prompt.</x:v>
      </x:c>
    </x:row>
    <x:row r="6">
      <x:c r="A6" t="str">
        <x:v>BR-005</x:v>
      </x:c>
      <x:c r="B6" t="str">
        <x:v>i18n slows development</x:v>
      </x:c>
      <x:c r="C6" t="str">
        <x:v>Medium</x:v>
      </x:c>
      <x:c r="D6" t="str">
        <x:v>Medium</x:v>
      </x:c>
      <x:c r="E6" t="str">
        <x:v>Medium</x:v>
      </x:c>
      <x:c r="F6" t="str">
        <x:v>Implement foundation only; avoid full translation coverage until needed.</x:v>
      </x:c>
      <x:c r="G6" t="str">
        <x:v>Founder / Solo Developer</x:v>
      </x:c>
      <x:c r="H6" t="str">
        <x:v>Open</x:v>
      </x:c>
      <x:c r="I6" t="str">
        <x:v>Translation catalog becomes blocker</x:v>
      </x:c>
      <x:c r="J6" t="str">
        <x:v>Keep language files minimal for MVP-0.</x:v>
      </x:c>
    </x:row>
    <x:row r="7">
      <x:c r="A7" t="str">
        <x:v>BR-006</x:v>
      </x:c>
      <x:c r="B7" t="str">
        <x:v>Too many documents diverge</x:v>
      </x:c>
      <x:c r="C7" t="str">
        <x:v>Medium</x:v>
      </x:c>
      <x:c r="D7" t="str">
        <x:v>Medium</x:v>
      </x:c>
      <x:c r="E7" t="str">
        <x:v>Medium</x:v>
      </x:c>
      <x:c r="F7" t="str">
        <x:v>Single source of truth folder and archive old versions.</x:v>
      </x:c>
      <x:c r="G7" t="str">
        <x:v>Founder / Solo Developer</x:v>
      </x:c>
      <x:c r="H7" t="str">
        <x:v>Open</x:v>
      </x:c>
      <x:c r="I7" t="str">
        <x:v>Multiple current specs conflict</x:v>
      </x:c>
      <x:c r="J7" t="str">
        <x:v>Update source-of-truth and mark others deprecated.</x:v>
      </x:c>
    </x:row>
    <x:row r="8">
      <x:c r="A8" t="str">
        <x:v>BR-007</x:v>
      </x:c>
      <x:c r="B8" t="str">
        <x:v>Deployment configuration issues</x:v>
      </x:c>
      <x:c r="C8" t="str">
        <x:v>Medium</x:v>
      </x:c>
      <x:c r="D8" t="str">
        <x:v>Medium</x:v>
      </x:c>
      <x:c r="E8" t="str">
        <x:v>Medium</x:v>
      </x:c>
      <x:c r="F8" t="str">
        <x:v>Deploy early in Sprint 4 and document env variables.</x:v>
      </x:c>
      <x:c r="G8" t="str">
        <x:v>Founder / Solo Developer</x:v>
      </x:c>
      <x:c r="H8" t="str">
        <x:v>Open</x:v>
      </x:c>
      <x:c r="I8" t="str">
        <x:v>Local works but preview fails</x:v>
      </x:c>
      <x:c r="J8" t="str">
        <x:v>Create deployment checklist.</x:v>
      </x:c>
    </x:row>
    <x:row r="9">
      <x:c r="A9" t="str">
        <x:v>BR-008</x:v>
      </x:c>
      <x:c r="B9" t="str">
        <x:v>User validation delayed</x:v>
      </x:c>
      <x:c r="C9" t="str">
        <x:v>Medium</x:v>
      </x:c>
      <x:c r="D9" t="str">
        <x:v>High</x:v>
      </x:c>
      <x:c r="E9" t="str">
        <x:v>High</x:v>
      </x:c>
      <x:c r="F9" t="str">
        <x:v>Prepare demo script and start discovery early.</x:v>
      </x:c>
      <x:c r="G9" t="str">
        <x:v>Founder / Solo Developer</x:v>
      </x:c>
      <x:c r="H9" t="str">
        <x:v>Open</x:v>
      </x:c>
      <x:c r="I9" t="str">
        <x:v>No design partner by MVP-0 completion</x:v>
      </x:c>
      <x:c r="J9" t="str">
        <x:v>Use interviews and async demos to collect feedback.</x:v>
      </x:c>
    </x:row>
  </x:sheetData>
  <x:conditionalFormatting sqref="E2:E9">
    <x:cfRule type="expression" dxfId="5" priority="1">
      <x:formula>$E2="Critical"</x:formula>
    </x:cfRule>
    <x:cfRule type="expression" dxfId="6" priority="2">
      <x:formula>$E2="High"</x:formula>
    </x:cfRule>
  </x:conditionalFormatting>
  <x:dataValidations count="4">
    <x:dataValidation type="list" sqref="C2:C9">
      <x:formula1>"Low,Medium,High"</x:formula1>
    </x:dataValidation>
    <x:dataValidation type="list" sqref="D2:D9">
      <x:formula1>"Low,Medium,High"</x:formula1>
    </x:dataValidation>
    <x:dataValidation type="list" sqref="E2:E9">
      <x:formula1>"Low,Medium,High,Critical"</x:formula1>
    </x:dataValidation>
    <x:dataValidation type="list" sqref="H2:H9">
      <x:formula1>"Open,Mitigating,Closed,Accepted"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488b8eec0444e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 ht="28" customHeight="1">
      <x:c r="A1" s="40" t="str">
        <x:v>Status</x:v>
      </x:c>
    </x:row>
    <x:row r="2">
      <x:c r="A2" t="str">
        <x:v>Not Started</x:v>
      </x:c>
    </x:row>
    <x:row r="3">
      <x:c r="A3" t="str">
        <x:v>In Progress</x:v>
      </x:c>
    </x:row>
    <x:row r="4">
      <x:c r="A4" t="str">
        <x:v>Blocked</x:v>
      </x:c>
    </x:row>
    <x:row r="5">
      <x:c r="A5" t="str">
        <x:v>Done</x:v>
      </x:c>
    </x:row>
    <x:row r="6">
      <x:c r="A6" t="str">
        <x:v>Deferred</x:v>
      </x:c>
    </x:row>
    <x:row r="7">
      <x:c r="A7"/>
    </x:row>
    <x:row r="8">
      <x:c r="A8" t="str">
        <x:v>Priority</x:v>
      </x:c>
    </x:row>
    <x:row r="9">
      <x:c r="A9" t="str">
        <x:v>P1</x:v>
      </x:c>
    </x:row>
    <x:row r="10">
      <x:c r="A10" t="str">
        <x:v>P2</x:v>
      </x:c>
    </x:row>
    <x:row r="11">
      <x:c r="A11" t="str">
        <x:v>P3</x:v>
      </x:c>
    </x:row>
    <x:row r="12">
      <x:c r="A12"/>
    </x:row>
    <x:row r="13">
      <x:c r="A13" t="str">
        <x:v>Sprint</x:v>
      </x:c>
    </x:row>
    <x:row r="14">
      <x:c r="A14" t="str">
        <x:v>Sprint 0</x:v>
      </x:c>
    </x:row>
    <x:row r="15">
      <x:c r="A15" t="str">
        <x:v>Sprint 1</x:v>
      </x:c>
    </x:row>
    <x:row r="16">
      <x:c r="A16" t="str">
        <x:v>Sprint 2</x:v>
      </x:c>
    </x:row>
    <x:row r="17">
      <x:c r="A17" t="str">
        <x:v>Sprint 3</x:v>
      </x:c>
    </x:row>
    <x:row r="18">
      <x:c r="A18" t="str">
        <x:v>Sprint 4</x:v>
      </x:c>
    </x:row>
    <x:row r="19">
      <x:c r="A19" t="str">
        <x:v>Sprint 5</x:v>
      </x:c>
    </x:row>
    <x:row r="20">
      <x:c r="A20" t="str">
        <x:v>Sprint 6</x:v>
      </x:c>
    </x:row>
    <x:row r="21">
      <x:c r="A21" t="str">
        <x:v>Sprint 7</x:v>
      </x:c>
    </x:row>
    <x:row r="22">
      <x:c r="A22" t="str">
        <x:v>Sprint 8</x:v>
      </x:c>
    </x:row>
    <x:row r="23">
      <x:c r="A23" t="str">
        <x:v>Later</x:v>
      </x:c>
    </x:row>
    <x:row r="24">
      <x:c r="A24"/>
    </x:row>
    <x:row r="25">
      <x:c r="A25" t="str">
        <x:v>Owner</x:v>
      </x:c>
    </x:row>
    <x:row r="26">
      <x:c r="A26" t="str">
        <x:v>Founder / Solo Developer</x:v>
      </x:c>
    </x:row>
    <x:row r="27">
      <x:c r="A27"/>
    </x:row>
    <x:row r="28">
      <x:c r="A28" t="str">
        <x:v>Phase</x:v>
      </x:c>
    </x:row>
    <x:row r="29">
      <x:c r="A29" t="str">
        <x:v>Phase 0</x:v>
      </x:c>
    </x:row>
    <x:row r="30">
      <x:c r="A30" t="str">
        <x:v>MVP-0</x:v>
      </x:c>
    </x:row>
    <x:row r="31">
      <x:c r="A31"/>
    </x:row>
    <x:row r="32">
      <x:c r="A32" t="str">
        <x:v>Languages</x:v>
      </x:c>
    </x:row>
    <x:row r="33">
      <x:c r="A33" t="str">
        <x:v>en</x:v>
      </x:c>
    </x:row>
    <x:row r="34">
      <x:c r="A34" t="str">
        <x:v>es</x:v>
      </x:c>
    </x:row>
  </x:sheetData>
  <x:pageMargins left="0.7" right="0.7" top="0.75" bottom="0.75" header="0.3" footer="0.3"/>
</x:worksheet>
</file>